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1880" activeTab="1"/>
  </bookViews>
  <sheets>
    <sheet name="Erklärung" sheetId="1" r:id="rId1"/>
    <sheet name="Rohdaten" sheetId="6" r:id="rId2"/>
    <sheet name="Traningsdaten" sheetId="4" r:id="rId3"/>
    <sheet name="Training" sheetId="2" r:id="rId4"/>
    <sheet name="Anwendung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2" i="2"/>
  <c r="I3" i="2"/>
  <c r="H3" i="2"/>
  <c r="G3" i="2"/>
  <c r="J2" i="2"/>
  <c r="K2" i="2" s="1"/>
  <c r="L2" i="2" s="1"/>
  <c r="J3" i="2" l="1"/>
  <c r="K3" i="2" s="1"/>
  <c r="L3" i="2" s="1"/>
  <c r="G4" i="2" s="1"/>
  <c r="I4" i="2" l="1"/>
  <c r="H4" i="2"/>
  <c r="J4" i="2" s="1"/>
  <c r="K4" i="2" s="1"/>
  <c r="L4" i="2" s="1"/>
  <c r="I5" i="2" l="1"/>
  <c r="H5" i="2"/>
  <c r="G5" i="2"/>
  <c r="J5" i="2" l="1"/>
  <c r="K5" i="2" s="1"/>
  <c r="L5" i="2" s="1"/>
  <c r="H6" i="2" s="1"/>
  <c r="I6" i="2"/>
  <c r="G6" i="2"/>
  <c r="J6" i="2" l="1"/>
  <c r="K6" i="2" s="1"/>
  <c r="L6" i="2" s="1"/>
  <c r="H7" i="2" l="1"/>
  <c r="I7" i="2"/>
  <c r="G7" i="2"/>
  <c r="J7" i="2" l="1"/>
  <c r="K7" i="2" s="1"/>
  <c r="L7" i="2" s="1"/>
  <c r="I8" i="2" s="1"/>
  <c r="G8" i="2" l="1"/>
  <c r="H8" i="2"/>
  <c r="J8" i="2" l="1"/>
  <c r="K8" i="2" s="1"/>
  <c r="L8" i="2" s="1"/>
  <c r="H9" i="2" l="1"/>
  <c r="I9" i="2"/>
  <c r="G9" i="2"/>
  <c r="J9" i="2" l="1"/>
  <c r="K9" i="2" s="1"/>
  <c r="L9" i="2" s="1"/>
  <c r="H10" i="2" s="1"/>
  <c r="I10" i="2" l="1"/>
  <c r="G10" i="2"/>
  <c r="J10" i="2"/>
  <c r="K10" i="2" s="1"/>
  <c r="L10" i="2" s="1"/>
  <c r="H11" i="2" s="1"/>
  <c r="I11" i="2" l="1"/>
  <c r="G11" i="2"/>
  <c r="J11" i="2"/>
  <c r="K11" i="2" s="1"/>
  <c r="L11" i="2" s="1"/>
  <c r="G12" i="2" s="1"/>
  <c r="I12" i="2" l="1"/>
  <c r="H12" i="2"/>
  <c r="J12" i="2" s="1"/>
  <c r="K12" i="2" s="1"/>
  <c r="L12" i="2" s="1"/>
  <c r="G13" i="2" s="1"/>
  <c r="I13" i="2" l="1"/>
  <c r="H13" i="2"/>
  <c r="J13" i="2" l="1"/>
  <c r="K13" i="2" s="1"/>
  <c r="L13" i="2" s="1"/>
  <c r="I14" i="2" s="1"/>
  <c r="H14" i="2" l="1"/>
  <c r="G14" i="2"/>
  <c r="J14" i="2" s="1"/>
  <c r="K14" i="2" s="1"/>
  <c r="L14" i="2" s="1"/>
  <c r="I15" i="2" s="1"/>
  <c r="H15" i="2" l="1"/>
  <c r="G15" i="2"/>
  <c r="J15" i="2" l="1"/>
  <c r="K15" i="2" s="1"/>
  <c r="L15" i="2" s="1"/>
  <c r="G16" i="2" l="1"/>
  <c r="I16" i="2"/>
  <c r="H16" i="2"/>
  <c r="J16" i="2" l="1"/>
  <c r="K16" i="2" s="1"/>
  <c r="L16" i="2" s="1"/>
  <c r="I17" i="2" s="1"/>
  <c r="H17" i="2" l="1"/>
  <c r="G17" i="2"/>
  <c r="J17" i="2" l="1"/>
  <c r="K17" i="2" s="1"/>
  <c r="L17" i="2" s="1"/>
  <c r="H18" i="2" l="1"/>
  <c r="I18" i="2"/>
  <c r="G18" i="2"/>
  <c r="J18" i="2" l="1"/>
  <c r="K18" i="2" s="1"/>
  <c r="L18" i="2" s="1"/>
  <c r="I19" i="2" s="1"/>
  <c r="G19" i="2" l="1"/>
  <c r="H19" i="2"/>
  <c r="J19" i="2" s="1"/>
  <c r="K19" i="2" s="1"/>
  <c r="L19" i="2" s="1"/>
  <c r="I20" i="2" s="1"/>
  <c r="H20" i="2" l="1"/>
  <c r="G20" i="2"/>
  <c r="J20" i="2" l="1"/>
  <c r="K20" i="2" s="1"/>
  <c r="L20" i="2" s="1"/>
  <c r="H21" i="2" l="1"/>
  <c r="I21" i="2"/>
  <c r="G21" i="2"/>
  <c r="J21" i="2" l="1"/>
  <c r="K21" i="2" s="1"/>
  <c r="L21" i="2" s="1"/>
  <c r="H22" i="2" s="1"/>
  <c r="I22" i="2" l="1"/>
  <c r="G22" i="2"/>
  <c r="J22" i="2" l="1"/>
  <c r="K22" i="2" s="1"/>
  <c r="L22" i="2" s="1"/>
  <c r="I23" i="2" s="1"/>
  <c r="G23" i="2" l="1"/>
  <c r="H23" i="2"/>
  <c r="J23" i="2" l="1"/>
  <c r="K23" i="2" s="1"/>
  <c r="L23" i="2" s="1"/>
  <c r="G24" i="2" l="1"/>
  <c r="I24" i="2"/>
  <c r="H24" i="2"/>
  <c r="J24" i="2" l="1"/>
  <c r="K24" i="2" s="1"/>
  <c r="L24" i="2" s="1"/>
  <c r="H25" i="2" s="1"/>
  <c r="I25" i="2" l="1"/>
  <c r="G25" i="2"/>
  <c r="J25" i="2" l="1"/>
  <c r="K25" i="2" s="1"/>
  <c r="L25" i="2" s="1"/>
  <c r="M25" i="2" l="1"/>
  <c r="H26" i="2"/>
  <c r="I26" i="2"/>
  <c r="G26" i="2"/>
  <c r="J26" i="2" l="1"/>
  <c r="K26" i="2" s="1"/>
  <c r="L26" i="2" s="1"/>
  <c r="G27" i="2"/>
  <c r="I27" i="2"/>
  <c r="H27" i="2"/>
  <c r="J27" i="2" l="1"/>
  <c r="K27" i="2" s="1"/>
  <c r="L27" i="2" s="1"/>
  <c r="H28" i="2" s="1"/>
  <c r="G28" i="2"/>
  <c r="I28" i="2" l="1"/>
  <c r="J28" i="2" l="1"/>
  <c r="K28" i="2" s="1"/>
  <c r="L28" i="2" s="1"/>
  <c r="H29" i="2" l="1"/>
  <c r="G29" i="2"/>
  <c r="I29" i="2"/>
  <c r="J29" i="2" l="1"/>
  <c r="K29" i="2" s="1"/>
  <c r="L29" i="2" s="1"/>
  <c r="H30" i="2"/>
  <c r="G30" i="2" l="1"/>
  <c r="I30" i="2"/>
  <c r="J30" i="2" l="1"/>
  <c r="K30" i="2" s="1"/>
  <c r="L30" i="2" s="1"/>
  <c r="G31" i="2" l="1"/>
  <c r="H31" i="2"/>
  <c r="I31" i="2"/>
  <c r="J31" i="2" l="1"/>
  <c r="K31" i="2" s="1"/>
  <c r="L31" i="2" s="1"/>
  <c r="G32" i="2" s="1"/>
  <c r="H32" i="2" l="1"/>
  <c r="I32" i="2"/>
  <c r="J32" i="2" l="1"/>
  <c r="K32" i="2" s="1"/>
  <c r="L32" i="2" s="1"/>
  <c r="G33" i="2" s="1"/>
  <c r="H33" i="2" l="1"/>
  <c r="I33" i="2"/>
  <c r="J33" i="2" l="1"/>
  <c r="K33" i="2" s="1"/>
  <c r="L33" i="2" s="1"/>
  <c r="G34" i="2" s="1"/>
  <c r="H34" i="2" l="1"/>
  <c r="I34" i="2"/>
  <c r="J34" i="2" l="1"/>
  <c r="K34" i="2" s="1"/>
  <c r="L34" i="2" s="1"/>
  <c r="G35" i="2" s="1"/>
  <c r="H35" i="2" l="1"/>
  <c r="I35" i="2"/>
  <c r="J35" i="2" l="1"/>
  <c r="K35" i="2" s="1"/>
  <c r="L35" i="2" s="1"/>
  <c r="G36" i="2" s="1"/>
  <c r="H36" i="2" l="1"/>
  <c r="I36" i="2"/>
  <c r="J36" i="2" l="1"/>
  <c r="K36" i="2" s="1"/>
  <c r="L36" i="2" s="1"/>
  <c r="G37" i="2" s="1"/>
  <c r="H37" i="2" l="1"/>
  <c r="I37" i="2"/>
  <c r="J37" i="2" l="1"/>
  <c r="K37" i="2" s="1"/>
  <c r="L37" i="2" s="1"/>
  <c r="G38" i="2" s="1"/>
  <c r="H38" i="2" l="1"/>
  <c r="I38" i="2"/>
  <c r="J38" i="2" l="1"/>
  <c r="K38" i="2" s="1"/>
  <c r="L38" i="2" s="1"/>
  <c r="G39" i="2" s="1"/>
  <c r="H39" i="2" l="1"/>
  <c r="I39" i="2"/>
  <c r="J39" i="2" l="1"/>
  <c r="K39" i="2" s="1"/>
  <c r="L39" i="2" s="1"/>
  <c r="G40" i="2" s="1"/>
  <c r="H40" i="2" l="1"/>
  <c r="I40" i="2"/>
  <c r="J40" i="2" l="1"/>
  <c r="K40" i="2" s="1"/>
  <c r="L40" i="2" s="1"/>
  <c r="G41" i="2" s="1"/>
  <c r="H41" i="2" l="1"/>
  <c r="I41" i="2"/>
  <c r="J41" i="2" l="1"/>
  <c r="K41" i="2" s="1"/>
  <c r="L41" i="2" s="1"/>
  <c r="G42" i="2" s="1"/>
  <c r="H42" i="2" l="1"/>
  <c r="I42" i="2"/>
  <c r="J42" i="2" l="1"/>
  <c r="K42" i="2" s="1"/>
  <c r="L42" i="2" s="1"/>
  <c r="G43" i="2" s="1"/>
  <c r="H43" i="2" l="1"/>
  <c r="I43" i="2"/>
  <c r="J43" i="2" l="1"/>
  <c r="K43" i="2" s="1"/>
  <c r="L43" i="2" s="1"/>
  <c r="G44" i="2" s="1"/>
  <c r="H44" i="2"/>
  <c r="I44" i="2" l="1"/>
  <c r="J44" i="2" l="1"/>
  <c r="K44" i="2" s="1"/>
  <c r="L44" i="2" s="1"/>
  <c r="G45" i="2" l="1"/>
  <c r="H45" i="2"/>
  <c r="I45" i="2"/>
  <c r="J45" i="2" l="1"/>
  <c r="K45" i="2" s="1"/>
  <c r="L45" i="2" s="1"/>
  <c r="G46" i="2" s="1"/>
  <c r="H46" i="2" l="1"/>
  <c r="I46" i="2"/>
  <c r="J46" i="2" l="1"/>
  <c r="K46" i="2" s="1"/>
  <c r="L46" i="2" s="1"/>
  <c r="G47" i="2" s="1"/>
  <c r="H47" i="2" l="1"/>
  <c r="I47" i="2"/>
  <c r="J47" i="2" l="1"/>
  <c r="K47" i="2" s="1"/>
  <c r="L47" i="2" s="1"/>
  <c r="H48" i="2" s="1"/>
  <c r="G48" i="2" l="1"/>
  <c r="M47" i="2"/>
  <c r="I48" i="2"/>
  <c r="J48" i="2" l="1"/>
  <c r="K48" i="2" s="1"/>
  <c r="L48" i="2" s="1"/>
  <c r="G49" i="2"/>
  <c r="H49" i="2" l="1"/>
  <c r="I49" i="2"/>
  <c r="J49" i="2" l="1"/>
  <c r="K49" i="2" s="1"/>
  <c r="L49" i="2" s="1"/>
  <c r="I50" i="2" l="1"/>
  <c r="G50" i="2"/>
  <c r="H50" i="2"/>
  <c r="J50" i="2" l="1"/>
  <c r="K50" i="2" s="1"/>
  <c r="L50" i="2" s="1"/>
  <c r="G51" i="2"/>
  <c r="I51" i="2"/>
  <c r="H51" i="2" l="1"/>
  <c r="J51" i="2" l="1"/>
  <c r="K51" i="2" s="1"/>
  <c r="L51" i="2" s="1"/>
  <c r="G52" i="2" l="1"/>
  <c r="I52" i="2"/>
  <c r="H52" i="2"/>
  <c r="J52" i="2" l="1"/>
  <c r="K52" i="2" s="1"/>
  <c r="L52" i="2" s="1"/>
  <c r="G53" i="2" s="1"/>
  <c r="I53" i="2" l="1"/>
  <c r="H53" i="2"/>
  <c r="J53" i="2" l="1"/>
  <c r="K53" i="2" s="1"/>
  <c r="L53" i="2" s="1"/>
  <c r="G54" i="2" s="1"/>
  <c r="I54" i="2" l="1"/>
  <c r="H54" i="2"/>
  <c r="J54" i="2" l="1"/>
  <c r="K54" i="2" s="1"/>
  <c r="L54" i="2" s="1"/>
  <c r="G55" i="2" s="1"/>
  <c r="I55" i="2" l="1"/>
  <c r="H55" i="2"/>
  <c r="J55" i="2" l="1"/>
  <c r="K55" i="2" s="1"/>
  <c r="L55" i="2" s="1"/>
  <c r="G56" i="2" l="1"/>
  <c r="I56" i="2"/>
  <c r="H56" i="2"/>
  <c r="J56" i="2" l="1"/>
  <c r="K56" i="2" s="1"/>
  <c r="L56" i="2" s="1"/>
  <c r="G57" i="2" s="1"/>
  <c r="I57" i="2" l="1"/>
  <c r="H57" i="2"/>
  <c r="J57" i="2" l="1"/>
  <c r="K57" i="2" s="1"/>
  <c r="L57" i="2" s="1"/>
  <c r="G58" i="2" s="1"/>
  <c r="I58" i="2" l="1"/>
  <c r="H58" i="2"/>
  <c r="J58" i="2" l="1"/>
  <c r="K58" i="2" s="1"/>
  <c r="L58" i="2" s="1"/>
  <c r="G59" i="2" s="1"/>
  <c r="I59" i="2" l="1"/>
  <c r="H59" i="2"/>
  <c r="J59" i="2" l="1"/>
  <c r="K59" i="2" s="1"/>
  <c r="L59" i="2" s="1"/>
  <c r="G60" i="2" s="1"/>
  <c r="I60" i="2" l="1"/>
  <c r="H60" i="2"/>
  <c r="J60" i="2" l="1"/>
  <c r="K60" i="2" s="1"/>
  <c r="L60" i="2" s="1"/>
  <c r="G61" i="2" s="1"/>
  <c r="I61" i="2" l="1"/>
  <c r="H61" i="2"/>
  <c r="J61" i="2" l="1"/>
  <c r="K61" i="2" s="1"/>
  <c r="L61" i="2" s="1"/>
  <c r="G62" i="2" s="1"/>
  <c r="I62" i="2" l="1"/>
  <c r="H62" i="2"/>
  <c r="J62" i="2" l="1"/>
  <c r="K62" i="2" s="1"/>
  <c r="L62" i="2" s="1"/>
  <c r="G63" i="2" s="1"/>
  <c r="I63" i="2" l="1"/>
  <c r="H63" i="2"/>
  <c r="J63" i="2" l="1"/>
  <c r="K63" i="2" s="1"/>
  <c r="L63" i="2" s="1"/>
  <c r="G64" i="2" s="1"/>
  <c r="I64" i="2" l="1"/>
  <c r="H64" i="2"/>
  <c r="J64" i="2" l="1"/>
  <c r="K64" i="2" s="1"/>
  <c r="L64" i="2" s="1"/>
  <c r="G65" i="2" s="1"/>
  <c r="I65" i="2" l="1"/>
  <c r="H65" i="2"/>
  <c r="J65" i="2" l="1"/>
  <c r="K65" i="2" s="1"/>
  <c r="L65" i="2" s="1"/>
  <c r="G66" i="2" s="1"/>
  <c r="I66" i="2"/>
  <c r="H66" i="2" l="1"/>
  <c r="J66" i="2" l="1"/>
  <c r="K66" i="2" s="1"/>
  <c r="L66" i="2" s="1"/>
  <c r="I67" i="2" l="1"/>
  <c r="G67" i="2"/>
  <c r="H67" i="2"/>
  <c r="J67" i="2" l="1"/>
  <c r="K67" i="2" s="1"/>
  <c r="L67" i="2" s="1"/>
  <c r="I68" i="2" s="1"/>
  <c r="G68" i="2"/>
  <c r="H68" i="2" l="1"/>
  <c r="J68" i="2" l="1"/>
  <c r="K68" i="2" s="1"/>
  <c r="L68" i="2" s="1"/>
  <c r="I69" i="2" l="1"/>
  <c r="G69" i="2"/>
  <c r="H69" i="2"/>
  <c r="D6" i="5" l="1"/>
  <c r="E6" i="5" s="1"/>
  <c r="F6" i="5" s="1"/>
  <c r="D10" i="5"/>
  <c r="E10" i="5" s="1"/>
  <c r="F10" i="5" s="1"/>
  <c r="D12" i="5"/>
  <c r="E12" i="5" s="1"/>
  <c r="F12" i="5" s="1"/>
  <c r="D14" i="5"/>
  <c r="E14" i="5" s="1"/>
  <c r="F14" i="5" s="1"/>
  <c r="D7" i="5"/>
  <c r="E7" i="5" s="1"/>
  <c r="F7" i="5" s="1"/>
  <c r="D5" i="5"/>
  <c r="E5" i="5" s="1"/>
  <c r="F5" i="5" s="1"/>
  <c r="D9" i="5"/>
  <c r="E9" i="5" s="1"/>
  <c r="F9" i="5" s="1"/>
  <c r="D11" i="5"/>
  <c r="E11" i="5" s="1"/>
  <c r="F11" i="5" s="1"/>
  <c r="D13" i="5"/>
  <c r="E13" i="5" s="1"/>
  <c r="F13" i="5" s="1"/>
  <c r="D4" i="5"/>
  <c r="E4" i="5" s="1"/>
  <c r="F4" i="5" s="1"/>
  <c r="D8" i="5"/>
  <c r="E8" i="5" s="1"/>
  <c r="F8" i="5" s="1"/>
  <c r="J69" i="2"/>
  <c r="K69" i="2" s="1"/>
  <c r="L69" i="2" s="1"/>
  <c r="M69" i="2" s="1"/>
</calcChain>
</file>

<file path=xl/sharedStrings.xml><?xml version="1.0" encoding="utf-8"?>
<sst xmlns="http://schemas.openxmlformats.org/spreadsheetml/2006/main" count="381" uniqueCount="162">
  <si>
    <t>Bias</t>
  </si>
  <si>
    <t>Summe</t>
  </si>
  <si>
    <t>Vorhersage</t>
  </si>
  <si>
    <t>Fehler</t>
  </si>
  <si>
    <t>Name</t>
  </si>
  <si>
    <t>Ananas</t>
  </si>
  <si>
    <t>Wertx1</t>
  </si>
  <si>
    <t>Wertx2</t>
  </si>
  <si>
    <t>Gewicht w1</t>
  </si>
  <si>
    <t>Gewicht w2</t>
  </si>
  <si>
    <t>Lernrate</t>
  </si>
  <si>
    <t>Holunderbeere</t>
  </si>
  <si>
    <t>Kiwi</t>
  </si>
  <si>
    <t>Quitte</t>
  </si>
  <si>
    <t>Stachelbeere</t>
  </si>
  <si>
    <t>Zwetschge</t>
  </si>
  <si>
    <t>Gartensalat</t>
  </si>
  <si>
    <t>Lauch</t>
  </si>
  <si>
    <t>Rote Peperoni</t>
  </si>
  <si>
    <t>Schwarzwurzel</t>
  </si>
  <si>
    <t>Obst</t>
  </si>
  <si>
    <t>Gemüse</t>
  </si>
  <si>
    <t>Aubergine</t>
  </si>
  <si>
    <t>Fenchel</t>
  </si>
  <si>
    <t>Erbsen</t>
  </si>
  <si>
    <t>Grünkohl</t>
  </si>
  <si>
    <t>Heidelbeere</t>
  </si>
  <si>
    <t>Apfel</t>
  </si>
  <si>
    <t>Zuweisung</t>
  </si>
  <si>
    <t>Lebensmittelname</t>
  </si>
  <si>
    <t>Zuweisungscode</t>
  </si>
  <si>
    <t>Wert x1 (Zucker in g)</t>
  </si>
  <si>
    <t>Wert x2 (Magnesium in mg)</t>
  </si>
  <si>
    <t>Die Trainingsdaten beinhalten für bekannte Lebensmittel eine nachvollziehbare Zuteilung gemäß der Nutzungsform in der Küche (nicht die botanische Definition!).</t>
  </si>
  <si>
    <t>Traningsdaten für das Perzeptron</t>
  </si>
  <si>
    <t>Schnittlauch</t>
  </si>
  <si>
    <t>Mango</t>
  </si>
  <si>
    <t>Mandarine</t>
  </si>
  <si>
    <t>Granatapfel</t>
  </si>
  <si>
    <t>Mangold</t>
  </si>
  <si>
    <t>Weintraube</t>
  </si>
  <si>
    <t>Zucchini</t>
  </si>
  <si>
    <t>Anwendungsdaten für das Perzeptron</t>
  </si>
  <si>
    <t>Spinat</t>
  </si>
  <si>
    <t>Anzahl der Fehler</t>
  </si>
  <si>
    <t>Preiselbeere</t>
  </si>
  <si>
    <t>Banane</t>
  </si>
  <si>
    <t>Broccoli</t>
  </si>
  <si>
    <t xml:space="preserve">Peperoni </t>
  </si>
  <si>
    <t>Rocula</t>
  </si>
  <si>
    <t>ID</t>
  </si>
  <si>
    <t>Kategorie</t>
  </si>
  <si>
    <t>Energie, Kilojoule (kJ)</t>
  </si>
  <si>
    <t>Fett, total (g)</t>
  </si>
  <si>
    <t>Fettsäuren, gesättigt (g)</t>
  </si>
  <si>
    <t>Fettsäuren, einfach ungesättigt (g)</t>
  </si>
  <si>
    <t>Fettsäuren, mehrfach ungesättigt (g)</t>
  </si>
  <si>
    <t>Kohlenhydrate, verfügbar (g)</t>
  </si>
  <si>
    <t>Zucker (g)</t>
  </si>
  <si>
    <t>Stärke (g)</t>
  </si>
  <si>
    <t>Ballaststoffe (g)</t>
  </si>
  <si>
    <t>Protein (g)</t>
  </si>
  <si>
    <t>Vitamin A-Aktivität, RE (µg-RE)</t>
  </si>
  <si>
    <t>Vitamin A-Aktivität, RAE (µg-RE)</t>
  </si>
  <si>
    <t>Betacarotin-Aktivität (µg-BCE)</t>
  </si>
  <si>
    <t>Betacarotin (µg)</t>
  </si>
  <si>
    <t>Vitamin B1 (Thiamin) (mg)</t>
  </si>
  <si>
    <t>Vitamin B2 (Riboflavin) (mg)</t>
  </si>
  <si>
    <t>Vitamin B6 (Pyridoxin) (mg)</t>
  </si>
  <si>
    <t>Niacin (mg)</t>
  </si>
  <si>
    <t>Folat (µg)</t>
  </si>
  <si>
    <t>Pantothensäure (mg)</t>
  </si>
  <si>
    <t>Vitamin C (Ascorbinsäure) (mg)</t>
  </si>
  <si>
    <t>Vitamin E (α-Tocopherol) (mg)</t>
  </si>
  <si>
    <t>Kalium (K) (mg)</t>
  </si>
  <si>
    <t>Natrium (Na) (mg)</t>
  </si>
  <si>
    <t>Chlorid (Cl) (mg)</t>
  </si>
  <si>
    <t>Calcium (Ca) (mg)</t>
  </si>
  <si>
    <t>Magnesium (Mg) (mg)</t>
  </si>
  <si>
    <t>Phosphor (P) (mg)</t>
  </si>
  <si>
    <t>Eisen (Fe) (mg)</t>
  </si>
  <si>
    <t>Jod (I) (µg)</t>
  </si>
  <si>
    <t>Zink (Zn)  (mg)</t>
  </si>
  <si>
    <t>Selen (Se) (µg)</t>
  </si>
  <si>
    <t>Fruechte</t>
  </si>
  <si>
    <t>Gemuese</t>
  </si>
  <si>
    <t>Kirsche, roh</t>
  </si>
  <si>
    <t>DATA-ID</t>
  </si>
  <si>
    <t>DUMMY 1</t>
  </si>
  <si>
    <t>DUMMY 2</t>
  </si>
  <si>
    <t>Aprikose</t>
  </si>
  <si>
    <t>Basilikum</t>
  </si>
  <si>
    <t>Birne</t>
  </si>
  <si>
    <t>Blumenkohl</t>
  </si>
  <si>
    <t>Bohne</t>
  </si>
  <si>
    <t>Brombeere</t>
  </si>
  <si>
    <t>Brunnenkresse</t>
  </si>
  <si>
    <t>Champignon</t>
  </si>
  <si>
    <t>Chicorée</t>
  </si>
  <si>
    <t>Chinakohl</t>
  </si>
  <si>
    <t>Cicorino rot</t>
  </si>
  <si>
    <t>Eierschwamm</t>
  </si>
  <si>
    <t>Eisbergsalat</t>
  </si>
  <si>
    <t>Endivie</t>
  </si>
  <si>
    <t>Erbse, grün</t>
  </si>
  <si>
    <t>Erdbeere</t>
  </si>
  <si>
    <t>Feige</t>
  </si>
  <si>
    <t>Feldsalat</t>
  </si>
  <si>
    <t>Grapefruit (weiss oder rot)</t>
  </si>
  <si>
    <t>Gurke</t>
  </si>
  <si>
    <t>Himbeere</t>
  </si>
  <si>
    <t>Holunderbeere, schwarz</t>
  </si>
  <si>
    <t>Honigmelone</t>
  </si>
  <si>
    <t>Johannisbeere, rot</t>
  </si>
  <si>
    <t>Johannisbeere, schwarz</t>
  </si>
  <si>
    <t>Kaki</t>
  </si>
  <si>
    <t>Karotte</t>
  </si>
  <si>
    <t>Knoblauch</t>
  </si>
  <si>
    <t>Knollensellerie</t>
  </si>
  <si>
    <t>Kohlrabi</t>
  </si>
  <si>
    <t>Kopfsalat</t>
  </si>
  <si>
    <t>Kürbis</t>
  </si>
  <si>
    <t>Mais</t>
  </si>
  <si>
    <t>Maniok, Wurzelknolle</t>
  </si>
  <si>
    <t>Mirabelle</t>
  </si>
  <si>
    <t>Morchel</t>
  </si>
  <si>
    <t>Nektarine</t>
  </si>
  <si>
    <t>Orange</t>
  </si>
  <si>
    <t>Papaya</t>
  </si>
  <si>
    <t>Passionsfrucht</t>
  </si>
  <si>
    <t>Pastinake</t>
  </si>
  <si>
    <t>Peperoni, grün</t>
  </si>
  <si>
    <t>Peperoni, rot</t>
  </si>
  <si>
    <t>Petersilie</t>
  </si>
  <si>
    <t>Pfefferminze</t>
  </si>
  <si>
    <t>Pfirsich, gelb</t>
  </si>
  <si>
    <t>Pflaume</t>
  </si>
  <si>
    <t>Radieschen</t>
  </si>
  <si>
    <t>Rande</t>
  </si>
  <si>
    <t>Rettich</t>
  </si>
  <si>
    <t>Rhabarber</t>
  </si>
  <si>
    <t>Rosenkohl</t>
  </si>
  <si>
    <t>Rosmarin</t>
  </si>
  <si>
    <t>Rotkohl</t>
  </si>
  <si>
    <t>Rucola</t>
  </si>
  <si>
    <t>Salbei</t>
  </si>
  <si>
    <t>Sojasprossen</t>
  </si>
  <si>
    <t>Spargel, (weiss und grün)</t>
  </si>
  <si>
    <t>Stangensellerie</t>
  </si>
  <si>
    <t>Steinpilz</t>
  </si>
  <si>
    <t>Thymian</t>
  </si>
  <si>
    <t>Tomate</t>
  </si>
  <si>
    <t>Topinambur</t>
  </si>
  <si>
    <t>Traube, weiss</t>
  </si>
  <si>
    <t>Wassermelone</t>
  </si>
  <si>
    <t>Weisskohl</t>
  </si>
  <si>
    <t>Wirsing</t>
  </si>
  <si>
    <t>Zitrone</t>
  </si>
  <si>
    <t>Zuckererbse</t>
  </si>
  <si>
    <t>Zuckerhutsalat</t>
  </si>
  <si>
    <t>Zwiebel</t>
  </si>
  <si>
    <t>Obst  entspricht dem Zuweisungscode 1 und Gemüse dem Zuweisungscode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</si>
</sst>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0" borderId="0" xfId="0" applyFont="1" applyFill="1" applyAlignment="1">
      <alignment horizontal="center" vertical="center" textRotation="90"/>
    </xf>
    <xf numFmtId="0" fontId="4" fillId="0" borderId="0" xfId="0" applyFont="1" applyFill="1" applyAlignment="1">
      <alignment horizontal="center" vertical="center" textRotation="90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8" borderId="0" xfId="0" applyFont="1" applyFill="1" applyAlignment="1">
      <alignment horizontal="center" vertical="center"/>
    </xf>
    <xf numFmtId="0" fontId="0" fillId="7" borderId="0" xfId="0" applyFill="1"/>
    <xf numFmtId="0" fontId="2" fillId="2" borderId="3" xfId="0" applyFont="1" applyFill="1" applyBorder="1"/>
    <xf numFmtId="0" fontId="3" fillId="0" borderId="0" xfId="0" applyFont="1" applyAlignment="1">
      <alignment horizontal="center"/>
    </xf>
  </cellXfs>
  <cellStyles count="1">
    <cellStyle name="Standard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9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Streudiagramm für Zucker- und Magensium-Gehalte in Lebensmitteln</a:t>
            </a:r>
          </a:p>
        </c:rich>
      </c:tx>
      <c:layout>
        <c:manualLayout>
          <c:xMode val="edge"/>
          <c:yMode val="edge"/>
          <c:x val="0.16877158683610297"/>
          <c:y val="1.4861995753715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Traningsdaten!$E$5</c:f>
              <c:strCache>
                <c:ptCount val="1"/>
                <c:pt idx="0">
                  <c:v>Wert x2 (Magnesium in mg)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2A954890-59B0-45FA-860F-1FAF4A8E47F5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45B-433A-9EE2-3C61CEBE1DFF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1C43BBD-A790-40CA-A315-25E4E0BA4BA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45B-433A-9EE2-3C61CEBE1DFF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33D14F0-2C9A-4DDA-98BC-E7BB6793053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45B-433A-9EE2-3C61CEBE1DFF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56D7DC5-0E2F-407F-BCC5-A7BE44A1183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45B-433A-9EE2-3C61CEBE1DFF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491742D-07AB-4BDE-B0B3-66E4DCC11E2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45B-433A-9EE2-3C61CEBE1DFF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F48DD3E8-DC76-4C51-88CD-2DB262DF5AA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45B-433A-9EE2-3C61CEBE1DFF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9A1687C5-BC2A-4DD3-9EAD-4A679A3D077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45B-433A-9EE2-3C61CEBE1DFF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3EB50ACD-850B-4432-BA0F-03516E91CBD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45B-433A-9EE2-3C61CEBE1DFF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9F1799A8-61BC-44D7-9EBC-083B8C5A133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45B-433A-9EE2-3C61CEBE1DFF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764E342E-23B3-43D8-859C-8162FEFB09E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240-4DB9-AB86-79028AAE92F9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B0880A94-C7A2-4722-AC9E-064BA6109CB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240-4DB9-AB86-79028AAE92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Traningsdaten!$D$6:$D$16</c:f>
              <c:numCache>
                <c:formatCode>General</c:formatCode>
                <c:ptCount val="11"/>
                <c:pt idx="0">
                  <c:v>10.5</c:v>
                </c:pt>
                <c:pt idx="1">
                  <c:v>8.6</c:v>
                </c:pt>
                <c:pt idx="2">
                  <c:v>12</c:v>
                </c:pt>
                <c:pt idx="3">
                  <c:v>13.3</c:v>
                </c:pt>
                <c:pt idx="4">
                  <c:v>8.9</c:v>
                </c:pt>
                <c:pt idx="5">
                  <c:v>14.6</c:v>
                </c:pt>
                <c:pt idx="6">
                  <c:v>7.3</c:v>
                </c:pt>
                <c:pt idx="7">
                  <c:v>7.1</c:v>
                </c:pt>
                <c:pt idx="8">
                  <c:v>8.8000000000000007</c:v>
                </c:pt>
                <c:pt idx="9">
                  <c:v>10</c:v>
                </c:pt>
                <c:pt idx="10">
                  <c:v>11.5</c:v>
                </c:pt>
              </c:numCache>
            </c:numRef>
          </c:xVal>
          <c:yVal>
            <c:numRef>
              <c:f>Traningsdaten!$E$6:$E$16</c:f>
              <c:numCache>
                <c:formatCode>General</c:formatCode>
                <c:ptCount val="11"/>
                <c:pt idx="0">
                  <c:v>11</c:v>
                </c:pt>
                <c:pt idx="1">
                  <c:v>9.3000000000000007</c:v>
                </c:pt>
                <c:pt idx="2">
                  <c:v>9</c:v>
                </c:pt>
                <c:pt idx="3">
                  <c:v>12</c:v>
                </c:pt>
                <c:pt idx="4">
                  <c:v>13</c:v>
                </c:pt>
                <c:pt idx="5">
                  <c:v>7.6</c:v>
                </c:pt>
                <c:pt idx="6">
                  <c:v>8.1999999999999993</c:v>
                </c:pt>
                <c:pt idx="7">
                  <c:v>8</c:v>
                </c:pt>
                <c:pt idx="8">
                  <c:v>8</c:v>
                </c:pt>
                <c:pt idx="9">
                  <c:v>5</c:v>
                </c:pt>
                <c:pt idx="10">
                  <c:v>6.5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Traningsdaten!$A$6:$A$16</c15:f>
                <c15:dlblRangeCache>
                  <c:ptCount val="11"/>
                  <c:pt idx="0">
                    <c:v>Ananas</c:v>
                  </c:pt>
                  <c:pt idx="1">
                    <c:v>Mandarine</c:v>
                  </c:pt>
                  <c:pt idx="2">
                    <c:v>Mango</c:v>
                  </c:pt>
                  <c:pt idx="3">
                    <c:v>Granatapfel</c:v>
                  </c:pt>
                  <c:pt idx="4">
                    <c:v>Kiwi</c:v>
                  </c:pt>
                  <c:pt idx="5">
                    <c:v>Weintraube</c:v>
                  </c:pt>
                  <c:pt idx="6">
                    <c:v>Quitte</c:v>
                  </c:pt>
                  <c:pt idx="7">
                    <c:v>Stachelbeere</c:v>
                  </c:pt>
                  <c:pt idx="8">
                    <c:v>Zwetschge</c:v>
                  </c:pt>
                  <c:pt idx="9">
                    <c:v>Heidelbeere</c:v>
                  </c:pt>
                  <c:pt idx="10">
                    <c:v>Apfel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45B-433A-9EE2-3C61CEBE1DFF}"/>
            </c:ext>
          </c:extLst>
        </c:ser>
        <c:ser>
          <c:idx val="1"/>
          <c:order val="1"/>
          <c:tx>
            <c:strRef>
              <c:f>Traningsdaten!$E$19</c:f>
              <c:strCache>
                <c:ptCount val="1"/>
                <c:pt idx="0">
                  <c:v>Wert x2 (Magnesium in mg)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DB69466A-C69B-4527-8932-16CAA2D26CDC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C45B-433A-9EE2-3C61CEBE1DFF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449CBD87-4299-485D-A173-39AF1689E20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45B-433A-9EE2-3C61CEBE1DFF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7716C8D1-7149-4FA4-913C-D178BD11732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45B-433A-9EE2-3C61CEBE1DFF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7227F97-4311-4EA5-B55C-4A49288758E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45B-433A-9EE2-3C61CEBE1DFF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8A7C51E-9140-49ED-AA00-74C91DC40AD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45B-433A-9EE2-3C61CEBE1DFF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F4645438-3049-4DA4-B7BD-F6DE2152168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45B-433A-9EE2-3C61CEBE1DFF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C48A1107-7532-4007-9A12-1F743A80D98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45B-433A-9EE2-3C61CEBE1DFF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090FA172-8107-4C7D-B30E-8BC19565B91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45B-433A-9EE2-3C61CEBE1DFF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6C9176DF-E9CA-43DD-9C6B-4565BD85089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45B-433A-9EE2-3C61CEBE1DFF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733A05DB-62AD-4AA0-B42E-8B01334E467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45B-433A-9EE2-3C61CEBE1DFF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40424F17-3DB6-4DE3-A856-E6C12CCC512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45B-433A-9EE2-3C61CEBE1D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Traningsdaten!$D$20:$D$30</c:f>
              <c:numCache>
                <c:formatCode>General</c:formatCode>
                <c:ptCount val="11"/>
                <c:pt idx="0">
                  <c:v>0.5</c:v>
                </c:pt>
                <c:pt idx="1">
                  <c:v>1.9</c:v>
                </c:pt>
                <c:pt idx="2">
                  <c:v>1.3</c:v>
                </c:pt>
                <c:pt idx="3">
                  <c:v>3.5</c:v>
                </c:pt>
                <c:pt idx="4">
                  <c:v>5.0999999999999996</c:v>
                </c:pt>
                <c:pt idx="5">
                  <c:v>2.5</c:v>
                </c:pt>
                <c:pt idx="6">
                  <c:v>2</c:v>
                </c:pt>
                <c:pt idx="7">
                  <c:v>5.5</c:v>
                </c:pt>
                <c:pt idx="8">
                  <c:v>1.9</c:v>
                </c:pt>
                <c:pt idx="9">
                  <c:v>2.4</c:v>
                </c:pt>
                <c:pt idx="10">
                  <c:v>0.1</c:v>
                </c:pt>
              </c:numCache>
            </c:numRef>
          </c:xVal>
          <c:yVal>
            <c:numRef>
              <c:f>Traningsdaten!$E$20:$E$30</c:f>
              <c:numCache>
                <c:formatCode>General</c:formatCode>
                <c:ptCount val="11"/>
                <c:pt idx="0">
                  <c:v>81</c:v>
                </c:pt>
                <c:pt idx="1">
                  <c:v>40</c:v>
                </c:pt>
                <c:pt idx="2">
                  <c:v>11</c:v>
                </c:pt>
                <c:pt idx="3">
                  <c:v>8.8000000000000007</c:v>
                </c:pt>
                <c:pt idx="4">
                  <c:v>12</c:v>
                </c:pt>
                <c:pt idx="5">
                  <c:v>38</c:v>
                </c:pt>
                <c:pt idx="6">
                  <c:v>24</c:v>
                </c:pt>
                <c:pt idx="7">
                  <c:v>34</c:v>
                </c:pt>
                <c:pt idx="8">
                  <c:v>23</c:v>
                </c:pt>
                <c:pt idx="9">
                  <c:v>14</c:v>
                </c:pt>
                <c:pt idx="10">
                  <c:v>12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Traningsdaten!$A$20:$A$30</c15:f>
                <c15:dlblRangeCache>
                  <c:ptCount val="11"/>
                  <c:pt idx="0">
                    <c:v>Mangold</c:v>
                  </c:pt>
                  <c:pt idx="1">
                    <c:v>Schnittlauch</c:v>
                  </c:pt>
                  <c:pt idx="2">
                    <c:v>Gartensalat</c:v>
                  </c:pt>
                  <c:pt idx="3">
                    <c:v>Lauch</c:v>
                  </c:pt>
                  <c:pt idx="4">
                    <c:v>Rote Peperoni</c:v>
                  </c:pt>
                  <c:pt idx="5">
                    <c:v>Grünkohl</c:v>
                  </c:pt>
                  <c:pt idx="6">
                    <c:v>Schwarzwurzel</c:v>
                  </c:pt>
                  <c:pt idx="7">
                    <c:v>Erbsen</c:v>
                  </c:pt>
                  <c:pt idx="8">
                    <c:v>Zucchini</c:v>
                  </c:pt>
                  <c:pt idx="9">
                    <c:v>Aubergine</c:v>
                  </c:pt>
                  <c:pt idx="10">
                    <c:v>Fenchel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C45B-433A-9EE2-3C61CEBE1D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1660794592"/>
        <c:axId val="1660801664"/>
      </c:scatterChart>
      <c:valAx>
        <c:axId val="1660794592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Menge</a:t>
                </a:r>
                <a:r>
                  <a:rPr lang="de-DE" baseline="0"/>
                  <a:t> an Zucker in g</a:t>
                </a:r>
                <a:endParaRPr lang="de-DE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0801664"/>
        <c:crosses val="autoZero"/>
        <c:crossBetween val="midCat"/>
        <c:majorUnit val="1"/>
        <c:minorUnit val="0.5"/>
      </c:valAx>
      <c:valAx>
        <c:axId val="16608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Menge an Magnesium in mg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079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4</xdr:row>
      <xdr:rowOff>1</xdr:rowOff>
    </xdr:from>
    <xdr:to>
      <xdr:col>18</xdr:col>
      <xdr:colOff>0</xdr:colOff>
      <xdr:row>35</xdr:row>
      <xdr:rowOff>76201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le1" displayName="Tabelle1" ref="A1:AI96" totalsRowShown="0" headerRowDxfId="5">
  <autoFilter ref="A1:AI96"/>
  <sortState ref="A2:AI96">
    <sortCondition ref="B1:B96"/>
  </sortState>
  <tableColumns count="35">
    <tableColumn id="1" name="ID"/>
    <tableColumn id="4" name="Name"/>
    <tableColumn id="6" name="Kategorie"/>
    <tableColumn id="9" name="Energie, Kilojoule (kJ)"/>
    <tableColumn id="15" name="Fett, total (g)"/>
    <tableColumn id="18" name="Fettsäuren, gesättigt (g)"/>
    <tableColumn id="21" name="Fettsäuren, einfach ungesättigt (g)"/>
    <tableColumn id="24" name="Fettsäuren, mehrfach ungesättigt (g)"/>
    <tableColumn id="30" name="Kohlenhydrate, verfügbar (g)"/>
    <tableColumn id="33" name="Zucker (g)" dataDxfId="4"/>
    <tableColumn id="36" name="Stärke (g)"/>
    <tableColumn id="39" name="Ballaststoffe (g)"/>
    <tableColumn id="42" name="Protein (g)"/>
    <tableColumn id="54" name="Vitamin A-Aktivität, RE (µg-RE)"/>
    <tableColumn id="57" name="Vitamin A-Aktivität, RAE (µg-RE)"/>
    <tableColumn id="63" name="Betacarotin-Aktivität (µg-BCE)"/>
    <tableColumn id="66" name="Betacarotin (µg)"/>
    <tableColumn id="69" name="Vitamin B1 (Thiamin) (mg)"/>
    <tableColumn id="72" name="Vitamin B2 (Riboflavin) (mg)"/>
    <tableColumn id="75" name="Vitamin B6 (Pyridoxin) (mg)"/>
    <tableColumn id="81" name="Niacin (mg)"/>
    <tableColumn id="84" name="Folat (µg)"/>
    <tableColumn id="87" name="Pantothensäure (mg)"/>
    <tableColumn id="90" name="Vitamin C (Ascorbinsäure) (mg)"/>
    <tableColumn id="96" name="Vitamin E (α-Tocopherol) (mg)"/>
    <tableColumn id="99" name="Kalium (K) (mg)"/>
    <tableColumn id="102" name="Natrium (Na) (mg)"/>
    <tableColumn id="105" name="Chlorid (Cl) (mg)"/>
    <tableColumn id="108" name="Calcium (Ca) (mg)"/>
    <tableColumn id="111" name="Magnesium (Mg) (mg)" dataDxfId="3"/>
    <tableColumn id="114" name="Phosphor (P) (mg)"/>
    <tableColumn id="117" name="Eisen (Fe) (mg)"/>
    <tableColumn id="120" name="Jod (I) (µg)"/>
    <tableColumn id="123" name="Zink (Zn)  (mg)"/>
    <tableColumn id="126" name="Selen (Se) (µg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le3" displayName="Tabelle3" ref="A19:E30" totalsRowShown="0">
  <autoFilter ref="A19:E30"/>
  <tableColumns count="5">
    <tableColumn id="1" name="Lebensmittelname"/>
    <tableColumn id="2" name="Zuweisung"/>
    <tableColumn id="5" name="Zuweisungscode"/>
    <tableColumn id="3" name="Wert x1 (Zucker in g)"/>
    <tableColumn id="4" name="Wert x2 (Magnesium in mg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elle4" displayName="Tabelle4" ref="A5:E16" totalsRowShown="0">
  <autoFilter ref="A5:E16"/>
  <tableColumns count="5">
    <tableColumn id="1" name="Lebensmittelname"/>
    <tableColumn id="2" name="Zuweisung"/>
    <tableColumn id="6" name="Zuweisungscode"/>
    <tableColumn id="3" name="Wert x1 (Zucker in g)"/>
    <tableColumn id="4" name="Wert x2 (Magnesium in mg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Tabelle43" displayName="Tabelle43" ref="A3:F14" totalsRowShown="0">
  <autoFilter ref="A3:F14"/>
  <tableColumns count="6">
    <tableColumn id="1" name="Lebensmittelname"/>
    <tableColumn id="3" name="Wert x1 (Zucker in g)"/>
    <tableColumn id="4" name="Wert x2 (Magnesium in mg)"/>
    <tableColumn id="2" name="Summe" dataDxfId="2">
      <calculatedColumnFormula>B4*Training!$G$69 + C4*Training!$H$69 + Training!$I$69</calculatedColumnFormula>
    </tableColumn>
    <tableColumn id="5" name="Zuweisungscode" dataDxfId="1">
      <calculatedColumnFormula>IF(D4&gt;0,1,0)</calculatedColumnFormula>
    </tableColumn>
    <tableColumn id="6" name="Zuweisung" dataDxfId="0">
      <calculatedColumnFormula>IF(E4=1,"Obst","Gemüse")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0" sqref="E20"/>
    </sheetView>
  </sheetViews>
  <sheetFormatPr baseColWidth="10" defaultColWidth="9.140625" defaultRowHeight="15" x14ac:dyDescent="0.25"/>
  <sheetData>
    <row r="1" spans="1:1" x14ac:dyDescent="0.25">
      <c r="A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6"/>
  <sheetViews>
    <sheetView tabSelected="1" workbookViewId="0">
      <selection activeCell="B97" sqref="B97"/>
    </sheetView>
  </sheetViews>
  <sheetFormatPr baseColWidth="10" defaultRowHeight="15" x14ac:dyDescent="0.25"/>
  <cols>
    <col min="1" max="1" width="5.42578125" customWidth="1"/>
    <col min="2" max="2" width="20.28515625" customWidth="1"/>
    <col min="3" max="3" width="10.42578125" customWidth="1"/>
    <col min="4" max="4" width="9" customWidth="1"/>
    <col min="5" max="5" width="8.85546875" customWidth="1"/>
    <col min="6" max="6" width="8.28515625" customWidth="1"/>
    <col min="7" max="7" width="9.140625" customWidth="1"/>
    <col min="8" max="8" width="9" customWidth="1"/>
    <col min="9" max="9" width="8.85546875" customWidth="1"/>
    <col min="11" max="11" width="6.85546875" customWidth="1"/>
    <col min="12" max="12" width="8" customWidth="1"/>
    <col min="13" max="13" width="6.5703125" customWidth="1"/>
    <col min="14" max="14" width="7.42578125" customWidth="1"/>
    <col min="15" max="15" width="6.85546875" customWidth="1"/>
    <col min="16" max="16" width="6.5703125" customWidth="1"/>
    <col min="17" max="17" width="6.7109375" customWidth="1"/>
    <col min="18" max="18" width="7.5703125" customWidth="1"/>
    <col min="27" max="27" width="8.42578125" customWidth="1"/>
  </cols>
  <sheetData>
    <row r="1" spans="1:35" ht="177.75" x14ac:dyDescent="0.25">
      <c r="A1" s="6" t="s">
        <v>50</v>
      </c>
      <c r="B1" s="6" t="s">
        <v>4</v>
      </c>
      <c r="C1" s="6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">
        <v>59</v>
      </c>
      <c r="L1" s="7" t="s">
        <v>60</v>
      </c>
      <c r="M1" s="7" t="s">
        <v>61</v>
      </c>
      <c r="N1" s="7" t="s">
        <v>62</v>
      </c>
      <c r="O1" s="7" t="s">
        <v>63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76</v>
      </c>
      <c r="AC1" s="7" t="s">
        <v>77</v>
      </c>
      <c r="AD1" s="7" t="s">
        <v>78</v>
      </c>
      <c r="AE1" s="7" t="s">
        <v>79</v>
      </c>
      <c r="AF1" s="7" t="s">
        <v>80</v>
      </c>
      <c r="AG1" s="7" t="s">
        <v>81</v>
      </c>
      <c r="AH1" s="7" t="s">
        <v>82</v>
      </c>
      <c r="AI1" s="7" t="s">
        <v>83</v>
      </c>
    </row>
    <row r="2" spans="1:35" x14ac:dyDescent="0.25">
      <c r="A2" s="8">
        <v>1</v>
      </c>
      <c r="B2" s="8" t="s">
        <v>5</v>
      </c>
      <c r="C2" t="s">
        <v>84</v>
      </c>
      <c r="D2">
        <v>221</v>
      </c>
      <c r="E2">
        <v>0.1</v>
      </c>
      <c r="F2">
        <v>0</v>
      </c>
      <c r="G2">
        <v>0</v>
      </c>
      <c r="H2">
        <v>0</v>
      </c>
      <c r="I2">
        <v>11.7</v>
      </c>
      <c r="J2" s="8">
        <v>10.5</v>
      </c>
      <c r="K2">
        <v>0</v>
      </c>
      <c r="L2">
        <v>1.2</v>
      </c>
      <c r="M2">
        <v>0.5</v>
      </c>
      <c r="N2">
        <v>8</v>
      </c>
      <c r="O2">
        <v>4</v>
      </c>
      <c r="P2">
        <v>49</v>
      </c>
      <c r="Q2">
        <v>49</v>
      </c>
      <c r="R2">
        <v>7.0000000000000007E-2</v>
      </c>
      <c r="S2">
        <v>0.02</v>
      </c>
      <c r="T2">
        <v>7.0000000000000007E-2</v>
      </c>
      <c r="U2">
        <v>0.2</v>
      </c>
      <c r="V2">
        <v>9.4</v>
      </c>
      <c r="W2">
        <v>0.13</v>
      </c>
      <c r="X2">
        <v>56.5</v>
      </c>
      <c r="Y2">
        <v>0.03</v>
      </c>
      <c r="Z2">
        <v>120</v>
      </c>
      <c r="AA2">
        <v>1</v>
      </c>
      <c r="AB2">
        <v>19</v>
      </c>
      <c r="AC2">
        <v>14</v>
      </c>
      <c r="AD2" s="8">
        <v>11</v>
      </c>
      <c r="AE2">
        <v>6</v>
      </c>
      <c r="AF2">
        <v>0.2</v>
      </c>
      <c r="AG2">
        <v>1.4</v>
      </c>
      <c r="AH2">
        <v>0.1</v>
      </c>
      <c r="AI2">
        <v>0.1</v>
      </c>
    </row>
    <row r="3" spans="1:35" x14ac:dyDescent="0.25">
      <c r="A3" s="8">
        <v>2</v>
      </c>
      <c r="B3" s="8" t="s">
        <v>27</v>
      </c>
      <c r="C3" t="s">
        <v>84</v>
      </c>
      <c r="D3">
        <v>222</v>
      </c>
      <c r="E3">
        <v>0.3</v>
      </c>
      <c r="F3">
        <v>0.1</v>
      </c>
      <c r="G3">
        <v>0</v>
      </c>
      <c r="H3">
        <v>0.2</v>
      </c>
      <c r="I3">
        <v>11.6</v>
      </c>
      <c r="J3" s="8">
        <v>11.5</v>
      </c>
      <c r="K3">
        <v>0.1</v>
      </c>
      <c r="L3">
        <v>1.4</v>
      </c>
      <c r="M3">
        <v>0.3</v>
      </c>
      <c r="N3">
        <v>4</v>
      </c>
      <c r="O3">
        <v>2</v>
      </c>
      <c r="P3">
        <v>25</v>
      </c>
      <c r="Q3">
        <v>23</v>
      </c>
      <c r="R3">
        <v>0.01</v>
      </c>
      <c r="S3">
        <v>0.01</v>
      </c>
      <c r="T3">
        <v>0.04</v>
      </c>
      <c r="U3">
        <v>0.08</v>
      </c>
      <c r="V3">
        <v>6</v>
      </c>
      <c r="W3">
        <v>0.08</v>
      </c>
      <c r="X3">
        <v>7.2</v>
      </c>
      <c r="Y3">
        <v>0.09</v>
      </c>
      <c r="Z3">
        <v>120</v>
      </c>
      <c r="AA3">
        <v>1.5</v>
      </c>
      <c r="AB3">
        <v>61</v>
      </c>
      <c r="AC3">
        <v>5.3</v>
      </c>
      <c r="AD3" s="8">
        <v>6.5</v>
      </c>
      <c r="AE3">
        <v>14</v>
      </c>
      <c r="AF3">
        <v>0.1</v>
      </c>
      <c r="AG3">
        <v>0.8</v>
      </c>
      <c r="AH3">
        <v>0.1</v>
      </c>
      <c r="AI3">
        <v>0.5</v>
      </c>
    </row>
    <row r="4" spans="1:35" x14ac:dyDescent="0.25">
      <c r="A4">
        <v>3</v>
      </c>
      <c r="B4" t="s">
        <v>90</v>
      </c>
      <c r="C4" t="s">
        <v>84</v>
      </c>
      <c r="D4">
        <v>185</v>
      </c>
      <c r="E4">
        <v>0.1</v>
      </c>
      <c r="F4">
        <v>0</v>
      </c>
      <c r="G4">
        <v>0.1</v>
      </c>
      <c r="H4">
        <v>0</v>
      </c>
      <c r="I4">
        <v>9</v>
      </c>
      <c r="J4" s="8">
        <v>6.7</v>
      </c>
      <c r="K4">
        <v>0</v>
      </c>
      <c r="L4">
        <v>1.7</v>
      </c>
      <c r="M4">
        <v>0.8</v>
      </c>
      <c r="N4">
        <v>384</v>
      </c>
      <c r="O4">
        <v>192</v>
      </c>
      <c r="P4">
        <v>2305</v>
      </c>
      <c r="Q4">
        <v>2243</v>
      </c>
      <c r="R4">
        <v>0.02</v>
      </c>
      <c r="S4">
        <v>0.02</v>
      </c>
      <c r="T4">
        <v>0.06</v>
      </c>
      <c r="U4">
        <v>0.38</v>
      </c>
      <c r="V4">
        <v>5.6</v>
      </c>
      <c r="W4">
        <v>0.18</v>
      </c>
      <c r="X4">
        <v>3.6</v>
      </c>
      <c r="Y4">
        <v>0.5</v>
      </c>
      <c r="Z4">
        <v>260</v>
      </c>
      <c r="AA4">
        <v>0</v>
      </c>
      <c r="AB4">
        <v>1</v>
      </c>
      <c r="AC4">
        <v>15</v>
      </c>
      <c r="AD4" s="8">
        <v>8.4</v>
      </c>
      <c r="AE4">
        <v>22</v>
      </c>
      <c r="AF4">
        <v>0.2</v>
      </c>
      <c r="AG4">
        <v>0.5</v>
      </c>
      <c r="AH4">
        <v>0.1</v>
      </c>
      <c r="AI4">
        <v>0.1</v>
      </c>
    </row>
    <row r="5" spans="1:35" x14ac:dyDescent="0.25">
      <c r="A5">
        <v>4</v>
      </c>
      <c r="B5" t="s">
        <v>22</v>
      </c>
      <c r="C5" t="s">
        <v>85</v>
      </c>
      <c r="D5">
        <v>86</v>
      </c>
      <c r="E5">
        <v>0.1</v>
      </c>
      <c r="F5">
        <v>0</v>
      </c>
      <c r="G5">
        <v>0</v>
      </c>
      <c r="H5">
        <v>0.1</v>
      </c>
      <c r="I5">
        <v>2.4</v>
      </c>
      <c r="J5" s="8">
        <v>2.4</v>
      </c>
      <c r="K5">
        <v>0</v>
      </c>
      <c r="L5">
        <v>2.7</v>
      </c>
      <c r="M5">
        <v>1.1000000000000001</v>
      </c>
      <c r="N5">
        <v>8</v>
      </c>
      <c r="O5">
        <v>4</v>
      </c>
      <c r="P5">
        <v>47</v>
      </c>
      <c r="Q5">
        <v>47</v>
      </c>
      <c r="R5">
        <v>0.04</v>
      </c>
      <c r="S5">
        <v>0.03</v>
      </c>
      <c r="T5">
        <v>0.08</v>
      </c>
      <c r="U5">
        <v>0.72</v>
      </c>
      <c r="V5">
        <v>24.5</v>
      </c>
      <c r="W5">
        <v>0.25</v>
      </c>
      <c r="X5">
        <v>1.9</v>
      </c>
      <c r="Y5">
        <v>0.17</v>
      </c>
      <c r="Z5">
        <v>240</v>
      </c>
      <c r="AA5">
        <v>2.5</v>
      </c>
      <c r="AB5">
        <v>55</v>
      </c>
      <c r="AC5">
        <v>12</v>
      </c>
      <c r="AD5" s="8">
        <v>14</v>
      </c>
      <c r="AE5">
        <v>21</v>
      </c>
      <c r="AF5">
        <v>0.3</v>
      </c>
      <c r="AG5">
        <v>0.1</v>
      </c>
      <c r="AH5">
        <v>0.1</v>
      </c>
      <c r="AI5">
        <v>3.9</v>
      </c>
    </row>
    <row r="6" spans="1:35" x14ac:dyDescent="0.25">
      <c r="A6">
        <v>5</v>
      </c>
      <c r="B6" t="s">
        <v>46</v>
      </c>
      <c r="C6" t="s">
        <v>84</v>
      </c>
      <c r="D6">
        <v>378</v>
      </c>
      <c r="E6">
        <v>0.1</v>
      </c>
      <c r="F6">
        <v>0</v>
      </c>
      <c r="G6">
        <v>0</v>
      </c>
      <c r="H6">
        <v>0</v>
      </c>
      <c r="I6">
        <v>19.7</v>
      </c>
      <c r="J6" s="8">
        <v>15.6</v>
      </c>
      <c r="K6">
        <v>3.8</v>
      </c>
      <c r="L6">
        <v>2.7</v>
      </c>
      <c r="M6">
        <v>1.1000000000000001</v>
      </c>
      <c r="N6">
        <v>14</v>
      </c>
      <c r="O6">
        <v>7</v>
      </c>
      <c r="P6">
        <v>84</v>
      </c>
      <c r="Q6">
        <v>54</v>
      </c>
      <c r="R6">
        <v>0.05</v>
      </c>
      <c r="S6">
        <v>0.03</v>
      </c>
      <c r="T6">
        <v>0.25</v>
      </c>
      <c r="U6">
        <v>0.6</v>
      </c>
      <c r="V6">
        <v>25.6</v>
      </c>
      <c r="W6">
        <v>0.23</v>
      </c>
      <c r="X6">
        <v>11.9</v>
      </c>
      <c r="Y6">
        <v>0</v>
      </c>
      <c r="Z6">
        <v>320</v>
      </c>
      <c r="AA6">
        <v>0</v>
      </c>
      <c r="AB6">
        <v>80</v>
      </c>
      <c r="AC6">
        <v>5.0999999999999996</v>
      </c>
      <c r="AD6" s="8">
        <v>28</v>
      </c>
      <c r="AE6">
        <v>29</v>
      </c>
      <c r="AF6">
        <v>0.2</v>
      </c>
      <c r="AG6">
        <v>3</v>
      </c>
      <c r="AH6">
        <v>0.1</v>
      </c>
      <c r="AI6">
        <v>0.5</v>
      </c>
    </row>
    <row r="7" spans="1:35" x14ac:dyDescent="0.25">
      <c r="A7">
        <v>6</v>
      </c>
      <c r="B7" t="s">
        <v>91</v>
      </c>
      <c r="C7" t="s">
        <v>85</v>
      </c>
      <c r="D7">
        <v>194</v>
      </c>
      <c r="E7">
        <v>0.8</v>
      </c>
      <c r="F7">
        <v>0.1</v>
      </c>
      <c r="G7">
        <v>0</v>
      </c>
      <c r="H7">
        <v>0.4</v>
      </c>
      <c r="I7">
        <v>5.0999999999999996</v>
      </c>
      <c r="J7" s="8">
        <v>5</v>
      </c>
      <c r="K7">
        <v>0.1</v>
      </c>
      <c r="L7">
        <v>3.1</v>
      </c>
      <c r="M7">
        <v>3.1</v>
      </c>
      <c r="N7">
        <v>811</v>
      </c>
      <c r="O7">
        <v>405</v>
      </c>
      <c r="P7">
        <v>4865</v>
      </c>
      <c r="Q7">
        <v>4820</v>
      </c>
      <c r="R7">
        <v>0.08</v>
      </c>
      <c r="S7">
        <v>0.31</v>
      </c>
      <c r="T7">
        <v>0.18</v>
      </c>
      <c r="U7">
        <v>1.1000000000000001</v>
      </c>
      <c r="V7">
        <v>50</v>
      </c>
      <c r="W7">
        <v>0.2</v>
      </c>
      <c r="X7">
        <v>26</v>
      </c>
      <c r="Y7">
        <v>1</v>
      </c>
      <c r="Z7">
        <v>300</v>
      </c>
      <c r="AA7">
        <v>9</v>
      </c>
      <c r="AB7">
        <v>35</v>
      </c>
      <c r="AC7">
        <v>250</v>
      </c>
      <c r="AD7" s="8">
        <v>11</v>
      </c>
      <c r="AE7">
        <v>37</v>
      </c>
      <c r="AF7">
        <v>5.5</v>
      </c>
      <c r="AG7">
        <v>0.9</v>
      </c>
      <c r="AH7">
        <v>0.7</v>
      </c>
      <c r="AI7">
        <v>0</v>
      </c>
    </row>
    <row r="8" spans="1:35" x14ac:dyDescent="0.25">
      <c r="A8">
        <v>7</v>
      </c>
      <c r="B8" t="s">
        <v>92</v>
      </c>
      <c r="C8" t="s">
        <v>84</v>
      </c>
      <c r="D8">
        <v>227</v>
      </c>
      <c r="E8">
        <v>0.3</v>
      </c>
      <c r="F8">
        <v>0.1</v>
      </c>
      <c r="G8">
        <v>0.1</v>
      </c>
      <c r="H8">
        <v>0.1</v>
      </c>
      <c r="I8">
        <v>10.9</v>
      </c>
      <c r="J8" s="8">
        <v>9</v>
      </c>
      <c r="K8">
        <v>0</v>
      </c>
      <c r="L8">
        <v>2.9</v>
      </c>
      <c r="M8">
        <v>0.5</v>
      </c>
      <c r="N8">
        <v>2</v>
      </c>
      <c r="O8">
        <v>1</v>
      </c>
      <c r="P8">
        <v>14</v>
      </c>
      <c r="Q8">
        <v>14</v>
      </c>
      <c r="R8">
        <v>0.01</v>
      </c>
      <c r="S8">
        <v>0.01</v>
      </c>
      <c r="T8">
        <v>0.03</v>
      </c>
      <c r="U8">
        <v>0.19</v>
      </c>
      <c r="V8">
        <v>11.5</v>
      </c>
      <c r="W8">
        <v>0.09</v>
      </c>
      <c r="X8">
        <v>4.5</v>
      </c>
      <c r="Y8">
        <v>0.12</v>
      </c>
      <c r="Z8">
        <v>130</v>
      </c>
      <c r="AA8">
        <v>1.8</v>
      </c>
      <c r="AB8">
        <v>61</v>
      </c>
      <c r="AC8">
        <v>6.5</v>
      </c>
      <c r="AD8" s="8">
        <v>8.1999999999999993</v>
      </c>
      <c r="AE8">
        <v>15</v>
      </c>
      <c r="AF8">
        <v>0.1</v>
      </c>
      <c r="AG8">
        <v>0.4</v>
      </c>
      <c r="AH8">
        <v>0.1</v>
      </c>
      <c r="AI8">
        <v>0.5</v>
      </c>
    </row>
    <row r="9" spans="1:35" x14ac:dyDescent="0.25">
      <c r="A9">
        <v>8</v>
      </c>
      <c r="B9" t="s">
        <v>93</v>
      </c>
      <c r="C9" t="s">
        <v>85</v>
      </c>
      <c r="D9">
        <v>109</v>
      </c>
      <c r="E9">
        <v>0.7</v>
      </c>
      <c r="F9">
        <v>0.2</v>
      </c>
      <c r="G9">
        <v>0.1</v>
      </c>
      <c r="H9">
        <v>0.3</v>
      </c>
      <c r="I9">
        <v>2.1</v>
      </c>
      <c r="J9" s="8">
        <v>1.7</v>
      </c>
      <c r="K9">
        <v>0.2</v>
      </c>
      <c r="L9">
        <v>2</v>
      </c>
      <c r="M9">
        <v>1.8</v>
      </c>
      <c r="N9">
        <v>1</v>
      </c>
      <c r="O9">
        <v>1</v>
      </c>
      <c r="P9">
        <v>6</v>
      </c>
      <c r="Q9">
        <v>6</v>
      </c>
      <c r="R9">
        <v>0.04</v>
      </c>
      <c r="S9">
        <v>0.09</v>
      </c>
      <c r="T9">
        <v>0.15</v>
      </c>
      <c r="U9">
        <v>0.26</v>
      </c>
      <c r="V9">
        <v>56</v>
      </c>
      <c r="W9">
        <v>0.75</v>
      </c>
      <c r="X9">
        <v>60.2</v>
      </c>
      <c r="Y9">
        <v>0.09</v>
      </c>
      <c r="Z9">
        <v>270</v>
      </c>
      <c r="AA9">
        <v>6</v>
      </c>
      <c r="AB9">
        <v>22</v>
      </c>
      <c r="AC9">
        <v>23</v>
      </c>
      <c r="AD9" s="8">
        <v>9.8000000000000007</v>
      </c>
      <c r="AE9">
        <v>40</v>
      </c>
      <c r="AF9">
        <v>0.3</v>
      </c>
      <c r="AG9">
        <v>0.7</v>
      </c>
      <c r="AH9">
        <v>0.3</v>
      </c>
      <c r="AI9">
        <v>1</v>
      </c>
    </row>
    <row r="10" spans="1:35" x14ac:dyDescent="0.25">
      <c r="A10">
        <v>9</v>
      </c>
      <c r="B10" t="s">
        <v>94</v>
      </c>
      <c r="C10" t="s">
        <v>85</v>
      </c>
      <c r="D10">
        <v>134</v>
      </c>
      <c r="E10">
        <v>0.2</v>
      </c>
      <c r="F10">
        <v>0.1</v>
      </c>
      <c r="G10">
        <v>0</v>
      </c>
      <c r="H10">
        <v>0.1</v>
      </c>
      <c r="I10">
        <v>4.0999999999999996</v>
      </c>
      <c r="J10" s="8">
        <v>3.3</v>
      </c>
      <c r="K10">
        <v>0.8</v>
      </c>
      <c r="L10">
        <v>3</v>
      </c>
      <c r="M10">
        <v>1.9</v>
      </c>
      <c r="N10">
        <v>57</v>
      </c>
      <c r="O10">
        <v>29</v>
      </c>
      <c r="P10">
        <v>343</v>
      </c>
      <c r="Q10">
        <v>343</v>
      </c>
      <c r="R10">
        <v>0.12</v>
      </c>
      <c r="S10">
        <v>0.09</v>
      </c>
      <c r="T10">
        <v>0.09</v>
      </c>
      <c r="U10">
        <v>0.8</v>
      </c>
      <c r="V10">
        <v>53.3</v>
      </c>
      <c r="W10">
        <v>0.13</v>
      </c>
      <c r="X10">
        <v>10.8</v>
      </c>
      <c r="Y10">
        <v>0.36</v>
      </c>
      <c r="Z10">
        <v>260</v>
      </c>
      <c r="AA10">
        <v>3.9</v>
      </c>
      <c r="AB10">
        <v>13</v>
      </c>
      <c r="AC10">
        <v>52</v>
      </c>
      <c r="AD10" s="8">
        <v>25</v>
      </c>
      <c r="AE10">
        <v>38</v>
      </c>
      <c r="AF10">
        <v>1</v>
      </c>
      <c r="AG10">
        <v>2.5</v>
      </c>
      <c r="AH10">
        <v>0.4</v>
      </c>
      <c r="AI10">
        <v>1</v>
      </c>
    </row>
    <row r="11" spans="1:35" x14ac:dyDescent="0.25">
      <c r="A11">
        <v>10</v>
      </c>
      <c r="B11" t="s">
        <v>47</v>
      </c>
      <c r="C11" t="s">
        <v>85</v>
      </c>
      <c r="D11">
        <v>163</v>
      </c>
      <c r="E11">
        <v>0.6</v>
      </c>
      <c r="F11">
        <v>0.2</v>
      </c>
      <c r="G11">
        <v>0.1</v>
      </c>
      <c r="H11">
        <v>0.3</v>
      </c>
      <c r="I11">
        <v>3.2</v>
      </c>
      <c r="J11" s="8">
        <v>1.9</v>
      </c>
      <c r="K11">
        <v>0.6</v>
      </c>
      <c r="L11">
        <v>3.2</v>
      </c>
      <c r="M11">
        <v>3.6</v>
      </c>
      <c r="N11">
        <v>92</v>
      </c>
      <c r="O11">
        <v>46</v>
      </c>
      <c r="P11">
        <v>554</v>
      </c>
      <c r="Q11">
        <v>554</v>
      </c>
      <c r="R11">
        <v>0.1</v>
      </c>
      <c r="S11">
        <v>0.12</v>
      </c>
      <c r="T11">
        <v>0.21</v>
      </c>
      <c r="U11">
        <v>0.8</v>
      </c>
      <c r="V11">
        <v>60.3</v>
      </c>
      <c r="W11">
        <v>0.77</v>
      </c>
      <c r="X11">
        <v>102.9</v>
      </c>
      <c r="Y11">
        <v>1.45</v>
      </c>
      <c r="Z11">
        <v>390</v>
      </c>
      <c r="AA11">
        <v>12</v>
      </c>
      <c r="AB11">
        <v>78</v>
      </c>
      <c r="AC11">
        <v>46</v>
      </c>
      <c r="AD11" s="8">
        <v>21</v>
      </c>
      <c r="AE11">
        <v>80</v>
      </c>
      <c r="AF11">
        <v>0.9</v>
      </c>
      <c r="AG11">
        <v>7.6</v>
      </c>
      <c r="AH11">
        <v>0.5</v>
      </c>
      <c r="AI11">
        <v>0.8</v>
      </c>
    </row>
    <row r="12" spans="1:35" x14ac:dyDescent="0.25">
      <c r="A12">
        <v>11</v>
      </c>
      <c r="B12" t="s">
        <v>95</v>
      </c>
      <c r="C12" t="s">
        <v>84</v>
      </c>
      <c r="D12">
        <v>198</v>
      </c>
      <c r="E12">
        <v>0.7</v>
      </c>
      <c r="F12">
        <v>0.1</v>
      </c>
      <c r="G12">
        <v>0.2</v>
      </c>
      <c r="H12">
        <v>0.4</v>
      </c>
      <c r="I12">
        <v>6.5</v>
      </c>
      <c r="J12" s="8">
        <v>6.1</v>
      </c>
      <c r="K12">
        <v>0</v>
      </c>
      <c r="L12">
        <v>5.2</v>
      </c>
      <c r="M12">
        <v>1.1000000000000001</v>
      </c>
      <c r="N12">
        <v>19</v>
      </c>
      <c r="O12">
        <v>9</v>
      </c>
      <c r="P12">
        <v>113</v>
      </c>
      <c r="Q12">
        <v>98</v>
      </c>
      <c r="R12">
        <v>0.01</v>
      </c>
      <c r="S12">
        <v>0.03</v>
      </c>
      <c r="T12">
        <v>0.02</v>
      </c>
      <c r="U12">
        <v>0.47</v>
      </c>
      <c r="V12">
        <v>16.100000000000001</v>
      </c>
      <c r="W12">
        <v>0.24</v>
      </c>
      <c r="X12">
        <v>10.7</v>
      </c>
      <c r="Y12">
        <v>0.6</v>
      </c>
      <c r="Z12">
        <v>200</v>
      </c>
      <c r="AA12">
        <v>1</v>
      </c>
      <c r="AB12">
        <v>20</v>
      </c>
      <c r="AC12">
        <v>31</v>
      </c>
      <c r="AD12" s="8">
        <v>20</v>
      </c>
      <c r="AE12">
        <v>25</v>
      </c>
      <c r="AF12">
        <v>0.4</v>
      </c>
      <c r="AG12">
        <v>0.4</v>
      </c>
      <c r="AH12">
        <v>0.2</v>
      </c>
      <c r="AI12">
        <v>0</v>
      </c>
    </row>
    <row r="13" spans="1:35" x14ac:dyDescent="0.25">
      <c r="A13">
        <v>12</v>
      </c>
      <c r="B13" t="s">
        <v>96</v>
      </c>
      <c r="C13" t="s">
        <v>85</v>
      </c>
      <c r="D13">
        <v>71</v>
      </c>
      <c r="E13">
        <v>0.2</v>
      </c>
      <c r="F13">
        <v>0.1</v>
      </c>
      <c r="G13">
        <v>0</v>
      </c>
      <c r="H13">
        <v>0.1</v>
      </c>
      <c r="I13">
        <v>0.3</v>
      </c>
      <c r="J13" s="8">
        <v>0.3</v>
      </c>
      <c r="K13">
        <v>0</v>
      </c>
      <c r="L13">
        <v>2.6</v>
      </c>
      <c r="M13">
        <v>2.2000000000000002</v>
      </c>
      <c r="N13">
        <v>421</v>
      </c>
      <c r="O13">
        <v>211</v>
      </c>
      <c r="P13">
        <v>2527</v>
      </c>
      <c r="Q13">
        <v>2527</v>
      </c>
      <c r="R13">
        <v>0.09</v>
      </c>
      <c r="S13">
        <v>0.12</v>
      </c>
      <c r="T13">
        <v>0.18</v>
      </c>
      <c r="U13">
        <v>0.4</v>
      </c>
      <c r="V13">
        <v>173</v>
      </c>
      <c r="W13">
        <v>0.18</v>
      </c>
      <c r="X13">
        <v>36.299999999999997</v>
      </c>
      <c r="Y13">
        <v>1.2</v>
      </c>
      <c r="Z13">
        <v>300</v>
      </c>
      <c r="AA13">
        <v>42</v>
      </c>
      <c r="AB13">
        <v>110</v>
      </c>
      <c r="AC13">
        <v>160</v>
      </c>
      <c r="AD13" s="8">
        <v>20</v>
      </c>
      <c r="AE13">
        <v>53</v>
      </c>
      <c r="AF13">
        <v>1.3</v>
      </c>
      <c r="AG13">
        <v>2</v>
      </c>
      <c r="AH13">
        <v>0.2</v>
      </c>
      <c r="AI13">
        <v>0</v>
      </c>
    </row>
    <row r="14" spans="1:35" x14ac:dyDescent="0.25">
      <c r="A14">
        <v>13</v>
      </c>
      <c r="B14" t="s">
        <v>97</v>
      </c>
      <c r="C14" t="s">
        <v>85</v>
      </c>
      <c r="D14">
        <v>107</v>
      </c>
      <c r="E14">
        <v>0.3</v>
      </c>
      <c r="F14">
        <v>0</v>
      </c>
      <c r="G14">
        <v>0</v>
      </c>
      <c r="H14">
        <v>0.1</v>
      </c>
      <c r="I14">
        <v>1.1000000000000001</v>
      </c>
      <c r="J14" s="8">
        <v>0.3</v>
      </c>
      <c r="K14">
        <v>0.2</v>
      </c>
      <c r="L14">
        <v>1.9</v>
      </c>
      <c r="M14">
        <v>3.7</v>
      </c>
      <c r="N14">
        <v>1</v>
      </c>
      <c r="O14">
        <v>0</v>
      </c>
      <c r="P14">
        <v>3</v>
      </c>
      <c r="Q14">
        <v>3</v>
      </c>
      <c r="R14">
        <v>0.1</v>
      </c>
      <c r="S14">
        <v>0.31</v>
      </c>
      <c r="T14">
        <v>0.1</v>
      </c>
      <c r="U14">
        <v>3.62</v>
      </c>
      <c r="V14">
        <v>21.7</v>
      </c>
      <c r="W14">
        <v>1.99</v>
      </c>
      <c r="X14">
        <v>2.1</v>
      </c>
      <c r="Y14">
        <v>0</v>
      </c>
      <c r="Z14">
        <v>370</v>
      </c>
      <c r="AA14">
        <v>5.7</v>
      </c>
      <c r="AB14">
        <v>67</v>
      </c>
      <c r="AC14">
        <v>7</v>
      </c>
      <c r="AD14" s="8">
        <v>11</v>
      </c>
      <c r="AE14">
        <v>110</v>
      </c>
      <c r="AF14">
        <v>1</v>
      </c>
      <c r="AG14">
        <v>18</v>
      </c>
      <c r="AH14">
        <v>0.5</v>
      </c>
      <c r="AI14">
        <v>0</v>
      </c>
    </row>
    <row r="15" spans="1:35" x14ac:dyDescent="0.25">
      <c r="A15">
        <v>14</v>
      </c>
      <c r="B15" t="s">
        <v>98</v>
      </c>
      <c r="C15" t="s">
        <v>85</v>
      </c>
      <c r="D15">
        <v>84</v>
      </c>
      <c r="E15">
        <v>0.2</v>
      </c>
      <c r="F15">
        <v>0</v>
      </c>
      <c r="G15">
        <v>0</v>
      </c>
      <c r="H15">
        <v>0.1</v>
      </c>
      <c r="I15">
        <v>2.8</v>
      </c>
      <c r="J15" s="8">
        <v>2.4</v>
      </c>
      <c r="K15">
        <v>0.2</v>
      </c>
      <c r="L15">
        <v>1.2</v>
      </c>
      <c r="M15">
        <v>1.1000000000000001</v>
      </c>
      <c r="N15">
        <v>232</v>
      </c>
      <c r="O15">
        <v>116</v>
      </c>
      <c r="P15">
        <v>1389</v>
      </c>
      <c r="Q15">
        <v>1389</v>
      </c>
      <c r="R15">
        <v>0.05</v>
      </c>
      <c r="S15">
        <v>0.04</v>
      </c>
      <c r="T15">
        <v>0.03</v>
      </c>
      <c r="U15">
        <v>0.21</v>
      </c>
      <c r="V15">
        <v>25.6</v>
      </c>
      <c r="W15">
        <v>0.14000000000000001</v>
      </c>
      <c r="X15">
        <v>1.6</v>
      </c>
      <c r="Y15">
        <v>0</v>
      </c>
      <c r="Z15">
        <v>190</v>
      </c>
      <c r="AA15">
        <v>1.9</v>
      </c>
      <c r="AB15">
        <v>34</v>
      </c>
      <c r="AC15">
        <v>18</v>
      </c>
      <c r="AD15" s="8">
        <v>8.9</v>
      </c>
      <c r="AE15">
        <v>25</v>
      </c>
      <c r="AF15">
        <v>0.2</v>
      </c>
      <c r="AG15">
        <v>0.4</v>
      </c>
      <c r="AH15">
        <v>0.1</v>
      </c>
      <c r="AI15">
        <v>0.1</v>
      </c>
    </row>
    <row r="16" spans="1:35" x14ac:dyDescent="0.25">
      <c r="A16">
        <v>15</v>
      </c>
      <c r="B16" t="s">
        <v>99</v>
      </c>
      <c r="C16" t="s">
        <v>85</v>
      </c>
      <c r="D16">
        <v>60</v>
      </c>
      <c r="E16">
        <v>0.2</v>
      </c>
      <c r="F16">
        <v>0</v>
      </c>
      <c r="G16">
        <v>0</v>
      </c>
      <c r="H16">
        <v>0.1</v>
      </c>
      <c r="I16">
        <v>1.2</v>
      </c>
      <c r="J16" s="8">
        <v>1.2</v>
      </c>
      <c r="K16">
        <v>0</v>
      </c>
      <c r="L16">
        <v>1.1000000000000001</v>
      </c>
      <c r="M16">
        <v>1.4</v>
      </c>
      <c r="N16">
        <v>7</v>
      </c>
      <c r="O16">
        <v>3</v>
      </c>
      <c r="P16">
        <v>42</v>
      </c>
      <c r="Q16">
        <v>42</v>
      </c>
      <c r="R16">
        <v>0.04</v>
      </c>
      <c r="S16">
        <v>0.04</v>
      </c>
      <c r="T16">
        <v>0.16</v>
      </c>
      <c r="U16">
        <v>0.4</v>
      </c>
      <c r="V16">
        <v>51.2</v>
      </c>
      <c r="W16">
        <v>0.18</v>
      </c>
      <c r="X16">
        <v>22.1</v>
      </c>
      <c r="Y16">
        <v>0.24</v>
      </c>
      <c r="Z16">
        <v>240</v>
      </c>
      <c r="AA16">
        <v>6.5</v>
      </c>
      <c r="AB16">
        <v>18</v>
      </c>
      <c r="AC16">
        <v>32</v>
      </c>
      <c r="AD16" s="8">
        <v>9.6999999999999993</v>
      </c>
      <c r="AE16">
        <v>40</v>
      </c>
      <c r="AF16">
        <v>0.3</v>
      </c>
      <c r="AG16">
        <v>0.3</v>
      </c>
      <c r="AH16">
        <v>0.2</v>
      </c>
      <c r="AI16">
        <v>0.3</v>
      </c>
    </row>
    <row r="17" spans="1:35" x14ac:dyDescent="0.25">
      <c r="A17">
        <v>16</v>
      </c>
      <c r="B17" t="s">
        <v>100</v>
      </c>
      <c r="C17" t="s">
        <v>85</v>
      </c>
      <c r="D17">
        <v>79</v>
      </c>
      <c r="E17">
        <v>0.1</v>
      </c>
      <c r="F17">
        <v>0</v>
      </c>
      <c r="G17">
        <v>0</v>
      </c>
      <c r="H17">
        <v>0.1</v>
      </c>
      <c r="I17">
        <v>1.6</v>
      </c>
      <c r="J17" s="8">
        <v>1.6</v>
      </c>
      <c r="K17">
        <v>0</v>
      </c>
      <c r="L17">
        <v>3</v>
      </c>
      <c r="M17">
        <v>1.4</v>
      </c>
      <c r="N17">
        <v>133</v>
      </c>
      <c r="O17">
        <v>67</v>
      </c>
      <c r="P17">
        <v>800</v>
      </c>
      <c r="Q17">
        <v>800</v>
      </c>
      <c r="R17">
        <v>0.06</v>
      </c>
      <c r="S17">
        <v>0.05</v>
      </c>
      <c r="T17">
        <v>0.05</v>
      </c>
      <c r="U17">
        <v>0.3</v>
      </c>
      <c r="V17">
        <v>14.1</v>
      </c>
      <c r="W17">
        <v>0.19</v>
      </c>
      <c r="X17">
        <v>7.7</v>
      </c>
      <c r="Y17">
        <v>0.56999999999999995</v>
      </c>
      <c r="Z17">
        <v>350</v>
      </c>
      <c r="AA17">
        <v>7.5</v>
      </c>
      <c r="AB17">
        <v>33</v>
      </c>
      <c r="AC17">
        <v>31</v>
      </c>
      <c r="AD17" s="8">
        <v>10</v>
      </c>
      <c r="AE17">
        <v>41</v>
      </c>
      <c r="AF17">
        <v>0.4</v>
      </c>
      <c r="AG17">
        <v>0</v>
      </c>
      <c r="AH17">
        <v>0.2</v>
      </c>
      <c r="AI17">
        <v>0.1</v>
      </c>
    </row>
    <row r="18" spans="1:35" x14ac:dyDescent="0.25">
      <c r="A18">
        <v>17</v>
      </c>
      <c r="B18" t="s">
        <v>101</v>
      </c>
      <c r="C18" t="s">
        <v>85</v>
      </c>
      <c r="D18">
        <v>98</v>
      </c>
      <c r="E18">
        <v>0.5</v>
      </c>
      <c r="F18">
        <v>0.1</v>
      </c>
      <c r="G18">
        <v>0</v>
      </c>
      <c r="H18">
        <v>0.3</v>
      </c>
      <c r="I18">
        <v>0.2</v>
      </c>
      <c r="J18" s="8">
        <v>0.2</v>
      </c>
      <c r="K18">
        <v>0</v>
      </c>
      <c r="L18">
        <v>4.7</v>
      </c>
      <c r="M18">
        <v>2.2999999999999998</v>
      </c>
      <c r="N18">
        <v>86</v>
      </c>
      <c r="O18">
        <v>43</v>
      </c>
      <c r="P18">
        <v>515</v>
      </c>
      <c r="Q18">
        <v>515</v>
      </c>
      <c r="R18">
        <v>0.02</v>
      </c>
      <c r="S18">
        <v>0.15</v>
      </c>
      <c r="T18">
        <v>0.04</v>
      </c>
      <c r="U18">
        <v>5.2</v>
      </c>
      <c r="V18">
        <v>12.9</v>
      </c>
      <c r="W18">
        <v>1.57</v>
      </c>
      <c r="X18">
        <v>5.7</v>
      </c>
      <c r="Y18">
        <v>0.1</v>
      </c>
      <c r="Z18">
        <v>510</v>
      </c>
      <c r="AA18">
        <v>3</v>
      </c>
      <c r="AB18">
        <v>30</v>
      </c>
      <c r="AC18">
        <v>8</v>
      </c>
      <c r="AD18" s="8">
        <v>14</v>
      </c>
      <c r="AE18">
        <v>44</v>
      </c>
      <c r="AF18">
        <v>6.5</v>
      </c>
      <c r="AG18">
        <v>3</v>
      </c>
      <c r="AH18">
        <v>0.6</v>
      </c>
      <c r="AI18">
        <v>0</v>
      </c>
    </row>
    <row r="19" spans="1:35" x14ac:dyDescent="0.25">
      <c r="A19">
        <v>18</v>
      </c>
      <c r="B19" t="s">
        <v>102</v>
      </c>
      <c r="C19" t="s">
        <v>85</v>
      </c>
      <c r="D19">
        <v>65</v>
      </c>
      <c r="E19">
        <v>0.2</v>
      </c>
      <c r="F19">
        <v>0</v>
      </c>
      <c r="G19">
        <v>0</v>
      </c>
      <c r="H19">
        <v>0.1</v>
      </c>
      <c r="I19">
        <v>1.6</v>
      </c>
      <c r="J19" s="8">
        <v>1.6</v>
      </c>
      <c r="K19">
        <v>0</v>
      </c>
      <c r="L19">
        <v>1.8</v>
      </c>
      <c r="M19">
        <v>1</v>
      </c>
      <c r="N19">
        <v>12</v>
      </c>
      <c r="O19">
        <v>6</v>
      </c>
      <c r="P19">
        <v>74</v>
      </c>
      <c r="Q19">
        <v>74</v>
      </c>
      <c r="R19">
        <v>0.04</v>
      </c>
      <c r="S19">
        <v>0.03</v>
      </c>
      <c r="T19">
        <v>0.04</v>
      </c>
      <c r="U19">
        <v>0.2</v>
      </c>
      <c r="V19">
        <v>34.700000000000003</v>
      </c>
      <c r="W19">
        <v>0.08</v>
      </c>
      <c r="X19">
        <v>4.0999999999999996</v>
      </c>
      <c r="Y19">
        <v>0.56999999999999995</v>
      </c>
      <c r="Z19">
        <v>180</v>
      </c>
      <c r="AA19">
        <v>3.6</v>
      </c>
      <c r="AB19">
        <v>42</v>
      </c>
      <c r="AC19">
        <v>34</v>
      </c>
      <c r="AD19" s="8">
        <v>7</v>
      </c>
      <c r="AE19">
        <v>22</v>
      </c>
      <c r="AF19">
        <v>0.5</v>
      </c>
      <c r="AG19">
        <v>2</v>
      </c>
      <c r="AH19">
        <v>0.2</v>
      </c>
      <c r="AI19">
        <v>0</v>
      </c>
    </row>
    <row r="20" spans="1:35" x14ac:dyDescent="0.25">
      <c r="A20">
        <v>19</v>
      </c>
      <c r="B20" t="s">
        <v>103</v>
      </c>
      <c r="C20" t="s">
        <v>85</v>
      </c>
      <c r="D20">
        <v>68</v>
      </c>
      <c r="E20">
        <v>0.2</v>
      </c>
      <c r="F20">
        <v>0.1</v>
      </c>
      <c r="G20">
        <v>0</v>
      </c>
      <c r="H20">
        <v>0.1</v>
      </c>
      <c r="I20">
        <v>1.2</v>
      </c>
      <c r="J20" s="8">
        <v>1.2</v>
      </c>
      <c r="K20">
        <v>0</v>
      </c>
      <c r="L20">
        <v>1.2</v>
      </c>
      <c r="M20">
        <v>1.8</v>
      </c>
      <c r="N20">
        <v>65</v>
      </c>
      <c r="O20">
        <v>33</v>
      </c>
      <c r="P20">
        <v>392</v>
      </c>
      <c r="Q20">
        <v>392</v>
      </c>
      <c r="R20">
        <v>0.05</v>
      </c>
      <c r="S20">
        <v>0.12</v>
      </c>
      <c r="T20">
        <v>0.04</v>
      </c>
      <c r="U20">
        <v>0.41</v>
      </c>
      <c r="V20">
        <v>109</v>
      </c>
      <c r="W20">
        <v>0.44</v>
      </c>
      <c r="X20">
        <v>12.9</v>
      </c>
      <c r="Y20">
        <v>0</v>
      </c>
      <c r="Z20">
        <v>220</v>
      </c>
      <c r="AA20">
        <v>52</v>
      </c>
      <c r="AB20">
        <v>94</v>
      </c>
      <c r="AC20">
        <v>23</v>
      </c>
      <c r="AD20" s="8">
        <v>8.1</v>
      </c>
      <c r="AE20">
        <v>26</v>
      </c>
      <c r="AF20">
        <v>0.5</v>
      </c>
      <c r="AG20">
        <v>2.9</v>
      </c>
      <c r="AH20">
        <v>0.2</v>
      </c>
      <c r="AI20">
        <v>0.2</v>
      </c>
    </row>
    <row r="21" spans="1:35" x14ac:dyDescent="0.25">
      <c r="A21">
        <v>20</v>
      </c>
      <c r="B21" t="s">
        <v>104</v>
      </c>
      <c r="C21" t="s">
        <v>85</v>
      </c>
      <c r="D21">
        <v>380</v>
      </c>
      <c r="E21">
        <v>0.7</v>
      </c>
      <c r="F21">
        <v>0.1</v>
      </c>
      <c r="G21">
        <v>0.1</v>
      </c>
      <c r="H21">
        <v>0.4</v>
      </c>
      <c r="I21">
        <v>12</v>
      </c>
      <c r="J21" s="8">
        <v>5.5</v>
      </c>
      <c r="K21">
        <v>6.2</v>
      </c>
      <c r="L21">
        <v>6</v>
      </c>
      <c r="M21">
        <v>6</v>
      </c>
      <c r="N21">
        <v>87</v>
      </c>
      <c r="O21">
        <v>43</v>
      </c>
      <c r="P21">
        <v>520</v>
      </c>
      <c r="Q21">
        <v>520</v>
      </c>
      <c r="R21">
        <v>0.4</v>
      </c>
      <c r="S21">
        <v>0.14000000000000001</v>
      </c>
      <c r="T21">
        <v>0.16</v>
      </c>
      <c r="U21">
        <v>2.2000000000000002</v>
      </c>
      <c r="V21">
        <v>70</v>
      </c>
      <c r="W21">
        <v>0.5</v>
      </c>
      <c r="X21">
        <v>32</v>
      </c>
      <c r="Y21">
        <v>0.2</v>
      </c>
      <c r="Z21">
        <v>300</v>
      </c>
      <c r="AA21">
        <v>2</v>
      </c>
      <c r="AB21">
        <v>40</v>
      </c>
      <c r="AC21">
        <v>26</v>
      </c>
      <c r="AD21" s="8">
        <v>34</v>
      </c>
      <c r="AE21">
        <v>130</v>
      </c>
      <c r="AF21">
        <v>1.9</v>
      </c>
      <c r="AG21">
        <v>4.2</v>
      </c>
      <c r="AH21">
        <v>0.8</v>
      </c>
      <c r="AI21">
        <v>0</v>
      </c>
    </row>
    <row r="22" spans="1:35" x14ac:dyDescent="0.25">
      <c r="A22">
        <v>21</v>
      </c>
      <c r="B22" t="s">
        <v>105</v>
      </c>
      <c r="C22" t="s">
        <v>84</v>
      </c>
      <c r="D22">
        <v>162</v>
      </c>
      <c r="E22">
        <v>0.5</v>
      </c>
      <c r="F22">
        <v>0</v>
      </c>
      <c r="G22">
        <v>0</v>
      </c>
      <c r="H22">
        <v>0</v>
      </c>
      <c r="I22">
        <v>6</v>
      </c>
      <c r="J22" s="8">
        <v>5.6</v>
      </c>
      <c r="K22">
        <v>0</v>
      </c>
      <c r="L22">
        <v>3.8</v>
      </c>
      <c r="M22">
        <v>0.6</v>
      </c>
      <c r="N22">
        <v>1</v>
      </c>
      <c r="O22">
        <v>0</v>
      </c>
      <c r="P22">
        <v>3</v>
      </c>
      <c r="Q22">
        <v>3</v>
      </c>
      <c r="R22">
        <v>0.02</v>
      </c>
      <c r="S22">
        <v>0.02</v>
      </c>
      <c r="T22">
        <v>0.04</v>
      </c>
      <c r="U22">
        <v>0.37</v>
      </c>
      <c r="V22">
        <v>40.700000000000003</v>
      </c>
      <c r="W22">
        <v>0.12</v>
      </c>
      <c r="X22">
        <v>55.8</v>
      </c>
      <c r="Y22">
        <v>0.3</v>
      </c>
      <c r="Z22">
        <v>140</v>
      </c>
      <c r="AA22">
        <v>1</v>
      </c>
      <c r="AB22">
        <v>62</v>
      </c>
      <c r="AC22">
        <v>18</v>
      </c>
      <c r="AD22" s="8">
        <v>12</v>
      </c>
      <c r="AE22">
        <v>23</v>
      </c>
      <c r="AF22">
        <v>0.2</v>
      </c>
      <c r="AG22">
        <v>1</v>
      </c>
      <c r="AH22">
        <v>0.1</v>
      </c>
      <c r="AI22">
        <v>0.5</v>
      </c>
    </row>
    <row r="23" spans="1:35" x14ac:dyDescent="0.25">
      <c r="A23">
        <v>22</v>
      </c>
      <c r="B23" t="s">
        <v>106</v>
      </c>
      <c r="C23" t="s">
        <v>84</v>
      </c>
      <c r="D23">
        <v>301</v>
      </c>
      <c r="E23">
        <v>0.5</v>
      </c>
      <c r="F23">
        <v>0.1</v>
      </c>
      <c r="G23">
        <v>0.1</v>
      </c>
      <c r="H23">
        <v>0.2</v>
      </c>
      <c r="I23">
        <v>13.5</v>
      </c>
      <c r="J23" s="8">
        <v>12.2</v>
      </c>
      <c r="K23">
        <v>0</v>
      </c>
      <c r="L23">
        <v>4.0999999999999996</v>
      </c>
      <c r="M23">
        <v>1.2</v>
      </c>
      <c r="N23">
        <v>17</v>
      </c>
      <c r="O23">
        <v>9</v>
      </c>
      <c r="P23">
        <v>102</v>
      </c>
      <c r="Q23">
        <v>87</v>
      </c>
      <c r="R23">
        <v>0.04</v>
      </c>
      <c r="S23">
        <v>0.03</v>
      </c>
      <c r="T23">
        <v>0.06</v>
      </c>
      <c r="U23">
        <v>0.35</v>
      </c>
      <c r="V23">
        <v>24.5</v>
      </c>
      <c r="W23">
        <v>0.2</v>
      </c>
      <c r="X23">
        <v>3.4</v>
      </c>
      <c r="Y23">
        <v>0.08</v>
      </c>
      <c r="Z23">
        <v>230</v>
      </c>
      <c r="AA23">
        <v>5</v>
      </c>
      <c r="AB23">
        <v>18</v>
      </c>
      <c r="AC23">
        <v>57</v>
      </c>
      <c r="AD23" s="8">
        <v>22</v>
      </c>
      <c r="AE23">
        <v>21</v>
      </c>
      <c r="AF23">
        <v>0.3</v>
      </c>
      <c r="AG23">
        <v>1.5</v>
      </c>
      <c r="AH23">
        <v>0.2</v>
      </c>
      <c r="AI23">
        <v>1.6</v>
      </c>
    </row>
    <row r="24" spans="1:35" x14ac:dyDescent="0.25">
      <c r="A24">
        <v>23</v>
      </c>
      <c r="B24" t="s">
        <v>107</v>
      </c>
      <c r="C24" t="s">
        <v>85</v>
      </c>
      <c r="D24">
        <v>96</v>
      </c>
      <c r="E24">
        <v>0.4</v>
      </c>
      <c r="F24">
        <v>0.1</v>
      </c>
      <c r="G24">
        <v>0</v>
      </c>
      <c r="H24">
        <v>0.2</v>
      </c>
      <c r="I24">
        <v>2</v>
      </c>
      <c r="J24" s="8">
        <v>2</v>
      </c>
      <c r="K24">
        <v>0</v>
      </c>
      <c r="L24">
        <v>1.7</v>
      </c>
      <c r="M24">
        <v>2</v>
      </c>
      <c r="N24">
        <v>447</v>
      </c>
      <c r="O24">
        <v>223</v>
      </c>
      <c r="P24">
        <v>2681</v>
      </c>
      <c r="Q24">
        <v>2681</v>
      </c>
      <c r="R24">
        <v>0.08</v>
      </c>
      <c r="S24">
        <v>0.09</v>
      </c>
      <c r="T24">
        <v>0.12</v>
      </c>
      <c r="U24">
        <v>0.4</v>
      </c>
      <c r="V24">
        <v>71.099999999999994</v>
      </c>
      <c r="W24">
        <v>0.2</v>
      </c>
      <c r="X24">
        <v>33.4</v>
      </c>
      <c r="Y24">
        <v>0.22</v>
      </c>
      <c r="Z24">
        <v>460</v>
      </c>
      <c r="AA24">
        <v>4</v>
      </c>
      <c r="AB24">
        <v>70</v>
      </c>
      <c r="AC24">
        <v>38</v>
      </c>
      <c r="AD24" s="8">
        <v>13</v>
      </c>
      <c r="AE24">
        <v>53</v>
      </c>
      <c r="AF24">
        <v>2.1</v>
      </c>
      <c r="AG24">
        <v>35</v>
      </c>
      <c r="AH24">
        <v>0.5</v>
      </c>
      <c r="AI24">
        <v>0</v>
      </c>
    </row>
    <row r="25" spans="1:35" x14ac:dyDescent="0.25">
      <c r="A25">
        <v>24</v>
      </c>
      <c r="B25" t="s">
        <v>23</v>
      </c>
      <c r="C25" t="s">
        <v>85</v>
      </c>
      <c r="D25">
        <v>95</v>
      </c>
      <c r="E25">
        <v>0.3</v>
      </c>
      <c r="F25">
        <v>0</v>
      </c>
      <c r="G25">
        <v>0</v>
      </c>
      <c r="H25">
        <v>0</v>
      </c>
      <c r="I25">
        <v>2.2999999999999998</v>
      </c>
      <c r="J25" s="8">
        <v>0.1</v>
      </c>
      <c r="K25">
        <v>2.2000000000000002</v>
      </c>
      <c r="L25">
        <v>3.3</v>
      </c>
      <c r="M25">
        <v>1.1000000000000001</v>
      </c>
      <c r="N25">
        <v>23</v>
      </c>
      <c r="O25">
        <v>12</v>
      </c>
      <c r="P25">
        <v>140</v>
      </c>
      <c r="Q25">
        <v>140</v>
      </c>
      <c r="R25">
        <v>0.04</v>
      </c>
      <c r="S25">
        <v>0.02</v>
      </c>
      <c r="T25">
        <v>0.04</v>
      </c>
      <c r="U25">
        <v>0.7</v>
      </c>
      <c r="V25">
        <v>55</v>
      </c>
      <c r="W25">
        <v>0.15</v>
      </c>
      <c r="X25">
        <v>5.9</v>
      </c>
      <c r="Y25">
        <v>0.08</v>
      </c>
      <c r="Z25">
        <v>470</v>
      </c>
      <c r="AA25">
        <v>15</v>
      </c>
      <c r="AB25">
        <v>27</v>
      </c>
      <c r="AC25">
        <v>37</v>
      </c>
      <c r="AD25" s="8">
        <v>12</v>
      </c>
      <c r="AE25">
        <v>38</v>
      </c>
      <c r="AF25">
        <v>0.5</v>
      </c>
      <c r="AG25">
        <v>5</v>
      </c>
      <c r="AH25">
        <v>0.3</v>
      </c>
      <c r="AI25">
        <v>0</v>
      </c>
    </row>
    <row r="26" spans="1:35" x14ac:dyDescent="0.25">
      <c r="A26" s="8">
        <v>25</v>
      </c>
      <c r="B26" s="8" t="s">
        <v>16</v>
      </c>
      <c r="C26" t="s">
        <v>85</v>
      </c>
      <c r="D26">
        <v>66</v>
      </c>
      <c r="E26">
        <v>0.3</v>
      </c>
      <c r="F26">
        <v>0</v>
      </c>
      <c r="G26">
        <v>0</v>
      </c>
      <c r="H26">
        <v>0.2</v>
      </c>
      <c r="I26">
        <v>1.3</v>
      </c>
      <c r="J26" s="8">
        <v>1.3</v>
      </c>
      <c r="K26">
        <v>0</v>
      </c>
      <c r="L26">
        <v>1.5</v>
      </c>
      <c r="M26">
        <v>1.2</v>
      </c>
      <c r="N26">
        <v>195</v>
      </c>
      <c r="O26">
        <v>98</v>
      </c>
      <c r="P26">
        <v>1170</v>
      </c>
      <c r="Q26">
        <v>1153</v>
      </c>
      <c r="R26">
        <v>7.0000000000000007E-2</v>
      </c>
      <c r="S26">
        <v>7.0000000000000007E-2</v>
      </c>
      <c r="T26">
        <v>0.06</v>
      </c>
      <c r="U26">
        <v>0.4</v>
      </c>
      <c r="V26">
        <v>64.900000000000006</v>
      </c>
      <c r="W26">
        <v>0.17</v>
      </c>
      <c r="X26">
        <v>5.9</v>
      </c>
      <c r="Y26">
        <v>0.28999999999999998</v>
      </c>
      <c r="Z26">
        <v>230</v>
      </c>
      <c r="AA26">
        <v>8</v>
      </c>
      <c r="AB26">
        <v>0</v>
      </c>
      <c r="AC26">
        <v>37</v>
      </c>
      <c r="AD26" s="8">
        <v>11</v>
      </c>
      <c r="AE26">
        <v>24</v>
      </c>
      <c r="AF26">
        <v>0.3</v>
      </c>
      <c r="AG26">
        <v>3.3</v>
      </c>
      <c r="AH26">
        <v>0</v>
      </c>
      <c r="AI26">
        <v>0</v>
      </c>
    </row>
    <row r="27" spans="1:35" x14ac:dyDescent="0.25">
      <c r="A27" s="8">
        <v>26</v>
      </c>
      <c r="B27" s="8" t="s">
        <v>38</v>
      </c>
      <c r="C27" t="s">
        <v>84</v>
      </c>
      <c r="D27">
        <v>342</v>
      </c>
      <c r="E27">
        <v>1.2</v>
      </c>
      <c r="F27">
        <v>0.1</v>
      </c>
      <c r="G27">
        <v>0.1</v>
      </c>
      <c r="H27">
        <v>1</v>
      </c>
      <c r="I27">
        <v>14.3</v>
      </c>
      <c r="J27" s="8">
        <v>13.3</v>
      </c>
      <c r="K27">
        <v>0</v>
      </c>
      <c r="L27">
        <v>2.2999999999999998</v>
      </c>
      <c r="M27">
        <v>1.4</v>
      </c>
      <c r="N27">
        <v>2</v>
      </c>
      <c r="O27">
        <v>1</v>
      </c>
      <c r="P27">
        <v>12</v>
      </c>
      <c r="Q27">
        <v>12</v>
      </c>
      <c r="R27">
        <v>0.06</v>
      </c>
      <c r="S27">
        <v>0.02</v>
      </c>
      <c r="T27">
        <v>0.03</v>
      </c>
      <c r="U27">
        <v>0.24</v>
      </c>
      <c r="V27">
        <v>8.8000000000000007</v>
      </c>
      <c r="W27">
        <v>0.31</v>
      </c>
      <c r="X27">
        <v>10.8</v>
      </c>
      <c r="Y27">
        <v>0.08</v>
      </c>
      <c r="Z27">
        <v>230</v>
      </c>
      <c r="AA27">
        <v>2</v>
      </c>
      <c r="AB27">
        <v>44</v>
      </c>
      <c r="AC27">
        <v>9.5</v>
      </c>
      <c r="AD27" s="8">
        <v>12</v>
      </c>
      <c r="AE27">
        <v>27</v>
      </c>
      <c r="AF27">
        <v>0.2</v>
      </c>
      <c r="AG27">
        <v>1.5</v>
      </c>
      <c r="AH27">
        <v>0.2</v>
      </c>
      <c r="AI27">
        <v>0.5</v>
      </c>
    </row>
    <row r="28" spans="1:35" x14ac:dyDescent="0.25">
      <c r="A28">
        <v>27</v>
      </c>
      <c r="B28" t="s">
        <v>108</v>
      </c>
      <c r="C28" t="s">
        <v>84</v>
      </c>
      <c r="D28">
        <v>177</v>
      </c>
      <c r="E28">
        <v>0.5</v>
      </c>
      <c r="F28">
        <v>0</v>
      </c>
      <c r="G28">
        <v>0</v>
      </c>
      <c r="H28">
        <v>0</v>
      </c>
      <c r="I28">
        <v>8</v>
      </c>
      <c r="J28" s="8">
        <v>6.6</v>
      </c>
      <c r="K28">
        <v>0</v>
      </c>
      <c r="L28">
        <v>0.9</v>
      </c>
      <c r="M28">
        <v>0.9</v>
      </c>
      <c r="N28">
        <v>66</v>
      </c>
      <c r="O28">
        <v>33</v>
      </c>
      <c r="P28">
        <v>396</v>
      </c>
      <c r="Q28">
        <v>351</v>
      </c>
      <c r="R28">
        <v>0.06</v>
      </c>
      <c r="S28">
        <v>0.02</v>
      </c>
      <c r="T28">
        <v>0.03</v>
      </c>
      <c r="U28">
        <v>0.2</v>
      </c>
      <c r="V28">
        <v>23</v>
      </c>
      <c r="W28">
        <v>0.22</v>
      </c>
      <c r="X28">
        <v>36</v>
      </c>
      <c r="Y28">
        <v>0.27</v>
      </c>
      <c r="Z28">
        <v>130</v>
      </c>
      <c r="AA28">
        <v>1</v>
      </c>
      <c r="AB28">
        <v>12</v>
      </c>
      <c r="AC28">
        <v>23</v>
      </c>
      <c r="AD28" s="8">
        <v>8</v>
      </c>
      <c r="AE28">
        <v>18</v>
      </c>
      <c r="AF28">
        <v>0.1</v>
      </c>
      <c r="AG28">
        <v>0.3</v>
      </c>
      <c r="AH28">
        <v>0.1</v>
      </c>
      <c r="AI28">
        <v>0.2</v>
      </c>
    </row>
    <row r="29" spans="1:35" x14ac:dyDescent="0.25">
      <c r="A29">
        <v>28</v>
      </c>
      <c r="B29" t="s">
        <v>25</v>
      </c>
      <c r="C29" t="s">
        <v>85</v>
      </c>
      <c r="D29">
        <v>183</v>
      </c>
      <c r="E29">
        <v>0.9</v>
      </c>
      <c r="F29">
        <v>0.1</v>
      </c>
      <c r="G29">
        <v>0</v>
      </c>
      <c r="H29">
        <v>0.5</v>
      </c>
      <c r="I29">
        <v>2.5</v>
      </c>
      <c r="J29" s="8">
        <v>2.5</v>
      </c>
      <c r="K29">
        <v>0</v>
      </c>
      <c r="L29">
        <v>4.2</v>
      </c>
      <c r="M29">
        <v>4.3</v>
      </c>
      <c r="N29">
        <v>471</v>
      </c>
      <c r="O29">
        <v>236</v>
      </c>
      <c r="P29">
        <v>2828</v>
      </c>
      <c r="Q29">
        <v>2828</v>
      </c>
      <c r="R29">
        <v>0.1</v>
      </c>
      <c r="S29">
        <v>0.25</v>
      </c>
      <c r="T29">
        <v>0.22</v>
      </c>
      <c r="U29">
        <v>2.1</v>
      </c>
      <c r="V29">
        <v>85.4</v>
      </c>
      <c r="W29">
        <v>0.7</v>
      </c>
      <c r="X29">
        <v>74</v>
      </c>
      <c r="Y29">
        <v>1.7</v>
      </c>
      <c r="Z29">
        <v>440</v>
      </c>
      <c r="AA29">
        <v>110</v>
      </c>
      <c r="AB29">
        <v>170</v>
      </c>
      <c r="AC29">
        <v>240</v>
      </c>
      <c r="AD29" s="8">
        <v>38</v>
      </c>
      <c r="AE29">
        <v>67</v>
      </c>
      <c r="AF29">
        <v>1.4</v>
      </c>
      <c r="AG29">
        <v>4.5</v>
      </c>
      <c r="AH29">
        <v>0.7</v>
      </c>
      <c r="AI29">
        <v>1.2</v>
      </c>
    </row>
    <row r="30" spans="1:35" x14ac:dyDescent="0.25">
      <c r="A30">
        <v>29</v>
      </c>
      <c r="B30" t="s">
        <v>109</v>
      </c>
      <c r="C30" t="s">
        <v>85</v>
      </c>
      <c r="D30">
        <v>57</v>
      </c>
      <c r="E30">
        <v>0.1</v>
      </c>
      <c r="F30">
        <v>0</v>
      </c>
      <c r="G30">
        <v>0</v>
      </c>
      <c r="H30">
        <v>0</v>
      </c>
      <c r="I30">
        <v>2</v>
      </c>
      <c r="J30" s="8">
        <v>1.9</v>
      </c>
      <c r="K30">
        <v>0.1</v>
      </c>
      <c r="L30">
        <v>0.8</v>
      </c>
      <c r="M30">
        <v>0.7</v>
      </c>
      <c r="N30">
        <v>37</v>
      </c>
      <c r="O30">
        <v>19</v>
      </c>
      <c r="P30">
        <v>222</v>
      </c>
      <c r="Q30">
        <v>222</v>
      </c>
      <c r="R30">
        <v>0.02</v>
      </c>
      <c r="S30">
        <v>0.02</v>
      </c>
      <c r="T30">
        <v>0.03</v>
      </c>
      <c r="U30">
        <v>0.2</v>
      </c>
      <c r="V30">
        <v>8.9</v>
      </c>
      <c r="W30">
        <v>0.2</v>
      </c>
      <c r="X30">
        <v>9.1999999999999993</v>
      </c>
      <c r="Y30">
        <v>0.09</v>
      </c>
      <c r="Z30">
        <v>140</v>
      </c>
      <c r="AA30">
        <v>0.9</v>
      </c>
      <c r="AB30">
        <v>37</v>
      </c>
      <c r="AC30">
        <v>15</v>
      </c>
      <c r="AD30" s="8">
        <v>10</v>
      </c>
      <c r="AE30">
        <v>18</v>
      </c>
      <c r="AF30">
        <v>0.2</v>
      </c>
      <c r="AG30">
        <v>2.9</v>
      </c>
      <c r="AH30">
        <v>0.1</v>
      </c>
      <c r="AI30">
        <v>0</v>
      </c>
    </row>
    <row r="31" spans="1:35" x14ac:dyDescent="0.25">
      <c r="A31" s="8">
        <v>30</v>
      </c>
      <c r="B31" s="8" t="s">
        <v>26</v>
      </c>
      <c r="C31" t="s">
        <v>84</v>
      </c>
      <c r="D31">
        <v>220</v>
      </c>
      <c r="E31">
        <v>0.3</v>
      </c>
      <c r="F31">
        <v>0</v>
      </c>
      <c r="G31">
        <v>0.2</v>
      </c>
      <c r="H31">
        <v>0</v>
      </c>
      <c r="I31">
        <v>10.6</v>
      </c>
      <c r="J31" s="8">
        <v>10</v>
      </c>
      <c r="K31">
        <v>0</v>
      </c>
      <c r="L31">
        <v>1.5</v>
      </c>
      <c r="M31">
        <v>0.9</v>
      </c>
      <c r="N31">
        <v>4</v>
      </c>
      <c r="O31">
        <v>2</v>
      </c>
      <c r="P31">
        <v>23</v>
      </c>
      <c r="Q31">
        <v>18</v>
      </c>
      <c r="R31">
        <v>0.03</v>
      </c>
      <c r="S31">
        <v>0.03</v>
      </c>
      <c r="T31">
        <v>0.05</v>
      </c>
      <c r="U31">
        <v>0.22</v>
      </c>
      <c r="V31">
        <v>9</v>
      </c>
      <c r="W31">
        <v>0.12</v>
      </c>
      <c r="X31">
        <v>7.5</v>
      </c>
      <c r="Y31">
        <v>0.88</v>
      </c>
      <c r="Z31">
        <v>66</v>
      </c>
      <c r="AA31">
        <v>2</v>
      </c>
      <c r="AB31">
        <v>53</v>
      </c>
      <c r="AC31">
        <v>10</v>
      </c>
      <c r="AD31" s="8">
        <v>5</v>
      </c>
      <c r="AE31">
        <v>16</v>
      </c>
      <c r="AF31">
        <v>0.6</v>
      </c>
      <c r="AG31">
        <v>2</v>
      </c>
      <c r="AH31">
        <v>0.1</v>
      </c>
      <c r="AI31">
        <v>0.5</v>
      </c>
    </row>
    <row r="32" spans="1:35" x14ac:dyDescent="0.25">
      <c r="A32">
        <v>31</v>
      </c>
      <c r="B32" t="s">
        <v>110</v>
      </c>
      <c r="C32" t="s">
        <v>84</v>
      </c>
      <c r="D32">
        <v>183</v>
      </c>
      <c r="E32">
        <v>0.8</v>
      </c>
      <c r="F32">
        <v>0.1</v>
      </c>
      <c r="G32">
        <v>0.2</v>
      </c>
      <c r="H32">
        <v>0.4</v>
      </c>
      <c r="I32">
        <v>5.8</v>
      </c>
      <c r="J32" s="8">
        <v>5.4</v>
      </c>
      <c r="K32">
        <v>0</v>
      </c>
      <c r="L32">
        <v>4.3</v>
      </c>
      <c r="M32">
        <v>1.2</v>
      </c>
      <c r="N32">
        <v>5</v>
      </c>
      <c r="O32">
        <v>2</v>
      </c>
      <c r="P32">
        <v>28</v>
      </c>
      <c r="Q32">
        <v>4</v>
      </c>
      <c r="R32">
        <v>0.02</v>
      </c>
      <c r="S32">
        <v>0.04</v>
      </c>
      <c r="T32">
        <v>0.05</v>
      </c>
      <c r="U32">
        <v>0.43</v>
      </c>
      <c r="V32">
        <v>25.5</v>
      </c>
      <c r="W32">
        <v>0.41</v>
      </c>
      <c r="X32">
        <v>20.7</v>
      </c>
      <c r="Y32">
        <v>0.65</v>
      </c>
      <c r="Z32">
        <v>170</v>
      </c>
      <c r="AA32">
        <v>0</v>
      </c>
      <c r="AB32">
        <v>11</v>
      </c>
      <c r="AC32">
        <v>16</v>
      </c>
      <c r="AD32" s="8">
        <v>20</v>
      </c>
      <c r="AE32">
        <v>29</v>
      </c>
      <c r="AF32">
        <v>0.4</v>
      </c>
      <c r="AG32">
        <v>3</v>
      </c>
      <c r="AH32">
        <v>0.2</v>
      </c>
      <c r="AI32">
        <v>0.2</v>
      </c>
    </row>
    <row r="33" spans="1:35" x14ac:dyDescent="0.25">
      <c r="A33">
        <v>32</v>
      </c>
      <c r="B33" t="s">
        <v>111</v>
      </c>
      <c r="C33" t="s">
        <v>84</v>
      </c>
      <c r="D33">
        <v>264</v>
      </c>
      <c r="E33">
        <v>1.7</v>
      </c>
      <c r="F33">
        <v>0.1</v>
      </c>
      <c r="G33">
        <v>0.1</v>
      </c>
      <c r="H33">
        <v>1.1000000000000001</v>
      </c>
      <c r="I33">
        <v>7.4</v>
      </c>
      <c r="J33" s="8">
        <v>7.4</v>
      </c>
      <c r="K33">
        <v>0</v>
      </c>
      <c r="L33">
        <v>4</v>
      </c>
      <c r="M33">
        <v>2.5</v>
      </c>
      <c r="N33">
        <v>54</v>
      </c>
      <c r="O33">
        <v>27</v>
      </c>
      <c r="P33">
        <v>325</v>
      </c>
      <c r="Q33">
        <v>325</v>
      </c>
      <c r="R33">
        <v>7.0000000000000007E-2</v>
      </c>
      <c r="S33">
        <v>7.0000000000000007E-2</v>
      </c>
      <c r="T33">
        <v>0.25</v>
      </c>
      <c r="U33">
        <v>1.6</v>
      </c>
      <c r="V33">
        <v>17</v>
      </c>
      <c r="W33">
        <v>0.16</v>
      </c>
      <c r="X33">
        <v>18</v>
      </c>
      <c r="Y33">
        <v>1</v>
      </c>
      <c r="Z33">
        <v>300</v>
      </c>
      <c r="AA33">
        <v>1</v>
      </c>
      <c r="AB33">
        <v>7</v>
      </c>
      <c r="AC33">
        <v>37</v>
      </c>
      <c r="AD33" s="8">
        <v>30</v>
      </c>
      <c r="AE33">
        <v>57</v>
      </c>
      <c r="AF33">
        <v>1.6</v>
      </c>
      <c r="AG33">
        <v>3</v>
      </c>
      <c r="AH33">
        <v>0.2</v>
      </c>
      <c r="AI33">
        <v>0</v>
      </c>
    </row>
    <row r="34" spans="1:35" x14ac:dyDescent="0.25">
      <c r="A34">
        <v>33</v>
      </c>
      <c r="B34" t="s">
        <v>112</v>
      </c>
      <c r="C34" t="s">
        <v>84</v>
      </c>
      <c r="D34">
        <v>260</v>
      </c>
      <c r="E34">
        <v>0.1</v>
      </c>
      <c r="F34">
        <v>0</v>
      </c>
      <c r="G34">
        <v>0</v>
      </c>
      <c r="H34">
        <v>0</v>
      </c>
      <c r="I34">
        <v>14.8</v>
      </c>
      <c r="J34" s="8">
        <v>10.6</v>
      </c>
      <c r="K34">
        <v>0</v>
      </c>
      <c r="L34">
        <v>1.3</v>
      </c>
      <c r="M34">
        <v>1.1000000000000001</v>
      </c>
      <c r="N34">
        <v>462</v>
      </c>
      <c r="O34">
        <v>231</v>
      </c>
      <c r="P34">
        <v>2774</v>
      </c>
      <c r="Q34">
        <v>2774</v>
      </c>
      <c r="R34">
        <v>0.05</v>
      </c>
      <c r="S34">
        <v>0.02</v>
      </c>
      <c r="T34">
        <v>0.08</v>
      </c>
      <c r="U34">
        <v>0.82</v>
      </c>
      <c r="V34">
        <v>37</v>
      </c>
      <c r="W34">
        <v>0.12</v>
      </c>
      <c r="X34">
        <v>41.9</v>
      </c>
      <c r="Y34">
        <v>0.08</v>
      </c>
      <c r="Z34">
        <v>380</v>
      </c>
      <c r="AA34">
        <v>24</v>
      </c>
      <c r="AB34">
        <v>18</v>
      </c>
      <c r="AC34">
        <v>11</v>
      </c>
      <c r="AD34" s="8">
        <v>16</v>
      </c>
      <c r="AE34">
        <v>17</v>
      </c>
      <c r="AF34">
        <v>0.2</v>
      </c>
      <c r="AG34">
        <v>2</v>
      </c>
      <c r="AH34">
        <v>0.2</v>
      </c>
      <c r="AI34">
        <v>0.5</v>
      </c>
    </row>
    <row r="35" spans="1:35" x14ac:dyDescent="0.25">
      <c r="A35">
        <v>34</v>
      </c>
      <c r="B35" t="s">
        <v>113</v>
      </c>
      <c r="C35" t="s">
        <v>84</v>
      </c>
      <c r="D35">
        <v>209</v>
      </c>
      <c r="E35">
        <v>0.7</v>
      </c>
      <c r="F35">
        <v>0.2</v>
      </c>
      <c r="G35">
        <v>0.1</v>
      </c>
      <c r="H35">
        <v>0.4</v>
      </c>
      <c r="I35">
        <v>7.1</v>
      </c>
      <c r="J35" s="8">
        <v>6.6</v>
      </c>
      <c r="K35">
        <v>0</v>
      </c>
      <c r="L35">
        <v>4.5999999999999996</v>
      </c>
      <c r="M35">
        <v>1.6</v>
      </c>
      <c r="N35">
        <v>2</v>
      </c>
      <c r="O35">
        <v>1</v>
      </c>
      <c r="P35">
        <v>10</v>
      </c>
      <c r="Q35">
        <v>9</v>
      </c>
      <c r="R35">
        <v>0.03</v>
      </c>
      <c r="S35">
        <v>0.04</v>
      </c>
      <c r="T35">
        <v>0.04</v>
      </c>
      <c r="U35">
        <v>0.28999999999999998</v>
      </c>
      <c r="V35">
        <v>10.5</v>
      </c>
      <c r="W35">
        <v>0.65</v>
      </c>
      <c r="X35">
        <v>31</v>
      </c>
      <c r="Y35">
        <v>0.8</v>
      </c>
      <c r="Z35">
        <v>230</v>
      </c>
      <c r="AA35">
        <v>5</v>
      </c>
      <c r="AB35">
        <v>14</v>
      </c>
      <c r="AC35">
        <v>38</v>
      </c>
      <c r="AD35" s="8">
        <v>12</v>
      </c>
      <c r="AE35">
        <v>38</v>
      </c>
      <c r="AF35">
        <v>0.4</v>
      </c>
      <c r="AG35">
        <v>1</v>
      </c>
      <c r="AH35">
        <v>0.2</v>
      </c>
      <c r="AI35">
        <v>1.3</v>
      </c>
    </row>
    <row r="36" spans="1:35" x14ac:dyDescent="0.25">
      <c r="A36">
        <v>35</v>
      </c>
      <c r="B36" t="s">
        <v>114</v>
      </c>
      <c r="C36" t="s">
        <v>84</v>
      </c>
      <c r="D36">
        <v>300</v>
      </c>
      <c r="E36">
        <v>0.9</v>
      </c>
      <c r="F36">
        <v>0.1</v>
      </c>
      <c r="G36">
        <v>0.1</v>
      </c>
      <c r="H36">
        <v>0.5</v>
      </c>
      <c r="I36">
        <v>9.6999999999999993</v>
      </c>
      <c r="J36" s="8">
        <v>9.6999999999999993</v>
      </c>
      <c r="K36">
        <v>0</v>
      </c>
      <c r="L36">
        <v>5.8</v>
      </c>
      <c r="M36">
        <v>1.3</v>
      </c>
      <c r="N36">
        <v>10</v>
      </c>
      <c r="O36">
        <v>5</v>
      </c>
      <c r="P36">
        <v>57</v>
      </c>
      <c r="Q36">
        <v>48</v>
      </c>
      <c r="R36">
        <v>0.04</v>
      </c>
      <c r="S36">
        <v>0.08</v>
      </c>
      <c r="T36">
        <v>7.0000000000000007E-2</v>
      </c>
      <c r="U36">
        <v>0.31</v>
      </c>
      <c r="V36">
        <v>11.5</v>
      </c>
      <c r="W36">
        <v>0.34</v>
      </c>
      <c r="X36">
        <v>209.3</v>
      </c>
      <c r="Y36">
        <v>1.5</v>
      </c>
      <c r="Z36">
        <v>330</v>
      </c>
      <c r="AA36">
        <v>2.5</v>
      </c>
      <c r="AB36">
        <v>15</v>
      </c>
      <c r="AC36">
        <v>57</v>
      </c>
      <c r="AD36" s="8">
        <v>23</v>
      </c>
      <c r="AE36">
        <v>54</v>
      </c>
      <c r="AF36">
        <v>1.2</v>
      </c>
      <c r="AG36">
        <v>1</v>
      </c>
      <c r="AH36">
        <v>0.3</v>
      </c>
      <c r="AI36">
        <v>1.1000000000000001</v>
      </c>
    </row>
    <row r="37" spans="1:35" x14ac:dyDescent="0.25">
      <c r="A37">
        <v>36</v>
      </c>
      <c r="B37" t="s">
        <v>115</v>
      </c>
      <c r="C37" t="s">
        <v>84</v>
      </c>
      <c r="D37">
        <v>297</v>
      </c>
      <c r="E37">
        <v>0.3</v>
      </c>
      <c r="F37">
        <v>0</v>
      </c>
      <c r="G37">
        <v>0.1</v>
      </c>
      <c r="H37">
        <v>0.1</v>
      </c>
      <c r="I37">
        <v>14.3</v>
      </c>
      <c r="J37" s="8">
        <v>13.9</v>
      </c>
      <c r="K37">
        <v>0</v>
      </c>
      <c r="L37">
        <v>3.4</v>
      </c>
      <c r="M37">
        <v>0.9</v>
      </c>
      <c r="N37">
        <v>57</v>
      </c>
      <c r="O37">
        <v>28</v>
      </c>
      <c r="P37">
        <v>341</v>
      </c>
      <c r="Q37">
        <v>81</v>
      </c>
      <c r="R37">
        <v>0.04</v>
      </c>
      <c r="S37">
        <v>0.08</v>
      </c>
      <c r="T37">
        <v>0.03</v>
      </c>
      <c r="U37">
        <v>0.2</v>
      </c>
      <c r="V37">
        <v>19</v>
      </c>
      <c r="W37">
        <v>0.14000000000000001</v>
      </c>
      <c r="X37">
        <v>15.1</v>
      </c>
      <c r="Y37">
        <v>0.12</v>
      </c>
      <c r="Z37">
        <v>160</v>
      </c>
      <c r="AA37">
        <v>5</v>
      </c>
      <c r="AB37">
        <v>33</v>
      </c>
      <c r="AC37">
        <v>6.9</v>
      </c>
      <c r="AD37" s="8">
        <v>7.2</v>
      </c>
      <c r="AE37">
        <v>13</v>
      </c>
      <c r="AF37">
        <v>0.1</v>
      </c>
      <c r="AG37">
        <v>1.8</v>
      </c>
      <c r="AH37">
        <v>0.4</v>
      </c>
      <c r="AI37">
        <v>0</v>
      </c>
    </row>
    <row r="38" spans="1:35" x14ac:dyDescent="0.25">
      <c r="A38">
        <v>37</v>
      </c>
      <c r="B38" t="s">
        <v>116</v>
      </c>
      <c r="C38" t="s">
        <v>85</v>
      </c>
      <c r="D38">
        <v>176</v>
      </c>
      <c r="E38">
        <v>0.4</v>
      </c>
      <c r="F38">
        <v>0.1</v>
      </c>
      <c r="G38">
        <v>0.1</v>
      </c>
      <c r="H38">
        <v>0.1</v>
      </c>
      <c r="I38">
        <v>7.6</v>
      </c>
      <c r="J38" s="8">
        <v>6</v>
      </c>
      <c r="K38">
        <v>0.4</v>
      </c>
      <c r="L38">
        <v>2.7</v>
      </c>
      <c r="M38">
        <v>0.6</v>
      </c>
      <c r="N38">
        <v>1384</v>
      </c>
      <c r="O38">
        <v>692</v>
      </c>
      <c r="P38">
        <v>8301</v>
      </c>
      <c r="Q38">
        <v>6999</v>
      </c>
      <c r="R38">
        <v>0.03</v>
      </c>
      <c r="S38">
        <v>0.02</v>
      </c>
      <c r="T38">
        <v>7.0000000000000007E-2</v>
      </c>
      <c r="U38">
        <v>0.3</v>
      </c>
      <c r="V38">
        <v>59.4</v>
      </c>
      <c r="W38">
        <v>0.34</v>
      </c>
      <c r="X38">
        <v>3.1</v>
      </c>
      <c r="Y38">
        <v>0.27</v>
      </c>
      <c r="Z38">
        <v>220</v>
      </c>
      <c r="AA38">
        <v>28</v>
      </c>
      <c r="AB38">
        <v>37</v>
      </c>
      <c r="AC38">
        <v>29</v>
      </c>
      <c r="AD38" s="8">
        <v>7.1</v>
      </c>
      <c r="AE38">
        <v>23</v>
      </c>
      <c r="AF38">
        <v>0.1</v>
      </c>
      <c r="AG38">
        <v>1.8</v>
      </c>
      <c r="AH38">
        <v>0.2</v>
      </c>
      <c r="AI38">
        <v>0.2</v>
      </c>
    </row>
    <row r="39" spans="1:35" x14ac:dyDescent="0.25">
      <c r="A39">
        <v>38</v>
      </c>
      <c r="B39" t="s">
        <v>86</v>
      </c>
      <c r="C39" t="s">
        <v>84</v>
      </c>
      <c r="D39">
        <v>262</v>
      </c>
      <c r="E39">
        <v>0.4</v>
      </c>
      <c r="F39">
        <v>0.1</v>
      </c>
      <c r="G39">
        <v>0.1</v>
      </c>
      <c r="H39">
        <v>0.1</v>
      </c>
      <c r="I39">
        <v>13</v>
      </c>
      <c r="J39" s="8">
        <v>10</v>
      </c>
      <c r="K39">
        <v>0</v>
      </c>
      <c r="L39">
        <v>1.6</v>
      </c>
      <c r="M39">
        <v>0.8</v>
      </c>
      <c r="N39">
        <v>11</v>
      </c>
      <c r="O39">
        <v>5</v>
      </c>
      <c r="P39">
        <v>63</v>
      </c>
      <c r="Q39">
        <v>56</v>
      </c>
      <c r="R39">
        <v>0.02</v>
      </c>
      <c r="S39">
        <v>0.02</v>
      </c>
      <c r="T39">
        <v>0.04</v>
      </c>
      <c r="U39">
        <v>0.18</v>
      </c>
      <c r="V39">
        <v>5.9</v>
      </c>
      <c r="W39">
        <v>0.14000000000000001</v>
      </c>
      <c r="X39">
        <v>4.3</v>
      </c>
      <c r="Y39">
        <v>0.14000000000000001</v>
      </c>
      <c r="Z39">
        <v>190</v>
      </c>
      <c r="AA39">
        <v>0</v>
      </c>
      <c r="AB39">
        <v>5</v>
      </c>
      <c r="AC39">
        <v>9.9</v>
      </c>
      <c r="AD39" s="8">
        <v>8.8000000000000007</v>
      </c>
      <c r="AE39">
        <v>19</v>
      </c>
      <c r="AF39">
        <v>0.2</v>
      </c>
      <c r="AG39">
        <v>1.2</v>
      </c>
      <c r="AH39">
        <v>0.1</v>
      </c>
      <c r="AI39">
        <v>0.2</v>
      </c>
    </row>
    <row r="40" spans="1:35" x14ac:dyDescent="0.25">
      <c r="A40" s="8">
        <v>39</v>
      </c>
      <c r="B40" s="8" t="s">
        <v>12</v>
      </c>
      <c r="C40" t="s">
        <v>84</v>
      </c>
      <c r="D40">
        <v>243</v>
      </c>
      <c r="E40">
        <v>0.6</v>
      </c>
      <c r="F40">
        <v>0.1</v>
      </c>
      <c r="G40">
        <v>0.2</v>
      </c>
      <c r="H40">
        <v>0.3</v>
      </c>
      <c r="I40">
        <v>11</v>
      </c>
      <c r="J40" s="8">
        <v>8.9</v>
      </c>
      <c r="K40">
        <v>0</v>
      </c>
      <c r="L40">
        <v>2.4</v>
      </c>
      <c r="M40">
        <v>0.9</v>
      </c>
      <c r="N40">
        <v>8</v>
      </c>
      <c r="O40">
        <v>4</v>
      </c>
      <c r="P40">
        <v>47</v>
      </c>
      <c r="Q40">
        <v>47</v>
      </c>
      <c r="R40">
        <v>0.01</v>
      </c>
      <c r="S40">
        <v>0.01</v>
      </c>
      <c r="T40">
        <v>0.05</v>
      </c>
      <c r="U40">
        <v>0.27</v>
      </c>
      <c r="V40">
        <v>33</v>
      </c>
      <c r="W40">
        <v>0.27</v>
      </c>
      <c r="X40">
        <v>75.3</v>
      </c>
      <c r="Y40">
        <v>2.17</v>
      </c>
      <c r="Z40">
        <v>290</v>
      </c>
      <c r="AA40">
        <v>1</v>
      </c>
      <c r="AB40">
        <v>33</v>
      </c>
      <c r="AC40">
        <v>33</v>
      </c>
      <c r="AD40" s="8">
        <v>13</v>
      </c>
      <c r="AE40">
        <v>33</v>
      </c>
      <c r="AF40">
        <v>0.2</v>
      </c>
      <c r="AG40">
        <v>1.7</v>
      </c>
      <c r="AH40">
        <v>0.1</v>
      </c>
      <c r="AI40">
        <v>0.2</v>
      </c>
    </row>
    <row r="41" spans="1:35" x14ac:dyDescent="0.25">
      <c r="A41">
        <v>40</v>
      </c>
      <c r="B41" t="s">
        <v>117</v>
      </c>
      <c r="C41" t="s">
        <v>85</v>
      </c>
      <c r="D41">
        <v>578</v>
      </c>
      <c r="E41">
        <v>0.5</v>
      </c>
      <c r="F41">
        <v>0.1</v>
      </c>
      <c r="G41">
        <v>0</v>
      </c>
      <c r="H41">
        <v>0.3</v>
      </c>
      <c r="I41">
        <v>24.5</v>
      </c>
      <c r="J41" s="8">
        <v>2.4</v>
      </c>
      <c r="K41">
        <v>22.1</v>
      </c>
      <c r="L41">
        <v>3</v>
      </c>
      <c r="M41">
        <v>7</v>
      </c>
      <c r="N41">
        <v>0</v>
      </c>
      <c r="O41">
        <v>0</v>
      </c>
      <c r="P41">
        <v>0</v>
      </c>
      <c r="Q41">
        <v>0</v>
      </c>
      <c r="R41">
        <v>0.2</v>
      </c>
      <c r="S41">
        <v>0.1</v>
      </c>
      <c r="T41">
        <v>1.24</v>
      </c>
      <c r="U41">
        <v>0.7</v>
      </c>
      <c r="V41">
        <v>3</v>
      </c>
      <c r="W41">
        <v>0.6</v>
      </c>
      <c r="X41">
        <v>30</v>
      </c>
      <c r="Y41">
        <v>0</v>
      </c>
      <c r="Z41">
        <v>450</v>
      </c>
      <c r="AA41">
        <v>10</v>
      </c>
      <c r="AB41">
        <v>30</v>
      </c>
      <c r="AC41">
        <v>38</v>
      </c>
      <c r="AD41" s="8">
        <v>21</v>
      </c>
      <c r="AE41">
        <v>140</v>
      </c>
      <c r="AF41">
        <v>1.4</v>
      </c>
      <c r="AG41">
        <v>2.7</v>
      </c>
      <c r="AH41">
        <v>0.6</v>
      </c>
      <c r="AI41">
        <v>0</v>
      </c>
    </row>
    <row r="42" spans="1:35" x14ac:dyDescent="0.25">
      <c r="A42">
        <v>41</v>
      </c>
      <c r="B42" t="s">
        <v>118</v>
      </c>
      <c r="C42" t="s">
        <v>85</v>
      </c>
      <c r="D42">
        <v>133</v>
      </c>
      <c r="E42">
        <v>0.3</v>
      </c>
      <c r="F42">
        <v>0.1</v>
      </c>
      <c r="G42">
        <v>0</v>
      </c>
      <c r="H42">
        <v>0.2</v>
      </c>
      <c r="I42">
        <v>4</v>
      </c>
      <c r="J42" s="8">
        <v>1.6</v>
      </c>
      <c r="K42">
        <v>0.4</v>
      </c>
      <c r="L42">
        <v>3.8</v>
      </c>
      <c r="M42">
        <v>1.4</v>
      </c>
      <c r="N42">
        <v>6</v>
      </c>
      <c r="O42">
        <v>3</v>
      </c>
      <c r="P42">
        <v>35</v>
      </c>
      <c r="Q42">
        <v>35</v>
      </c>
      <c r="R42">
        <v>0.06</v>
      </c>
      <c r="S42">
        <v>0.04</v>
      </c>
      <c r="T42">
        <v>0.19</v>
      </c>
      <c r="U42">
        <v>0.3</v>
      </c>
      <c r="V42">
        <v>39</v>
      </c>
      <c r="W42">
        <v>0.56000000000000005</v>
      </c>
      <c r="X42">
        <v>7.1</v>
      </c>
      <c r="Y42">
        <v>0.12</v>
      </c>
      <c r="Z42">
        <v>460</v>
      </c>
      <c r="AA42">
        <v>56</v>
      </c>
      <c r="AB42">
        <v>130</v>
      </c>
      <c r="AC42">
        <v>40</v>
      </c>
      <c r="AD42" s="8">
        <v>13</v>
      </c>
      <c r="AE42">
        <v>56</v>
      </c>
      <c r="AF42">
        <v>0.4</v>
      </c>
      <c r="AG42">
        <v>2.4</v>
      </c>
      <c r="AH42">
        <v>0.4</v>
      </c>
      <c r="AI42">
        <v>0.9</v>
      </c>
    </row>
    <row r="43" spans="1:35" x14ac:dyDescent="0.25">
      <c r="A43">
        <v>42</v>
      </c>
      <c r="B43" t="s">
        <v>119</v>
      </c>
      <c r="C43" t="s">
        <v>85</v>
      </c>
      <c r="D43">
        <v>113</v>
      </c>
      <c r="E43">
        <v>0.2</v>
      </c>
      <c r="F43">
        <v>0</v>
      </c>
      <c r="G43">
        <v>0</v>
      </c>
      <c r="H43">
        <v>0.1</v>
      </c>
      <c r="I43">
        <v>3.7</v>
      </c>
      <c r="J43" s="8">
        <v>3.6</v>
      </c>
      <c r="K43">
        <v>0.1</v>
      </c>
      <c r="L43">
        <v>1.4</v>
      </c>
      <c r="M43">
        <v>1.9</v>
      </c>
      <c r="N43">
        <v>3</v>
      </c>
      <c r="O43">
        <v>1</v>
      </c>
      <c r="P43">
        <v>17</v>
      </c>
      <c r="Q43">
        <v>16</v>
      </c>
      <c r="R43">
        <v>0.03</v>
      </c>
      <c r="S43">
        <v>0.05</v>
      </c>
      <c r="T43">
        <v>0.08</v>
      </c>
      <c r="U43">
        <v>1.8</v>
      </c>
      <c r="V43">
        <v>39.5</v>
      </c>
      <c r="W43">
        <v>0.12</v>
      </c>
      <c r="X43">
        <v>57.6</v>
      </c>
      <c r="Y43">
        <v>0.48</v>
      </c>
      <c r="Z43">
        <v>310</v>
      </c>
      <c r="AA43">
        <v>16</v>
      </c>
      <c r="AB43">
        <v>34</v>
      </c>
      <c r="AC43">
        <v>23</v>
      </c>
      <c r="AD43" s="8">
        <v>16</v>
      </c>
      <c r="AE43">
        <v>43</v>
      </c>
      <c r="AF43">
        <v>0.2</v>
      </c>
      <c r="AG43">
        <v>0.7</v>
      </c>
      <c r="AH43">
        <v>0.2</v>
      </c>
      <c r="AI43">
        <v>0.9</v>
      </c>
    </row>
    <row r="44" spans="1:35" x14ac:dyDescent="0.25">
      <c r="A44">
        <v>43</v>
      </c>
      <c r="B44" t="s">
        <v>120</v>
      </c>
      <c r="C44" t="s">
        <v>85</v>
      </c>
      <c r="D44">
        <v>60</v>
      </c>
      <c r="E44">
        <v>0.2</v>
      </c>
      <c r="F44">
        <v>0</v>
      </c>
      <c r="G44">
        <v>0</v>
      </c>
      <c r="H44">
        <v>0.1</v>
      </c>
      <c r="I44">
        <v>1.1000000000000001</v>
      </c>
      <c r="J44" s="8">
        <v>1</v>
      </c>
      <c r="K44">
        <v>0</v>
      </c>
      <c r="L44">
        <v>1.6</v>
      </c>
      <c r="M44">
        <v>1.3</v>
      </c>
      <c r="N44">
        <v>155</v>
      </c>
      <c r="O44">
        <v>78</v>
      </c>
      <c r="P44">
        <v>933</v>
      </c>
      <c r="Q44">
        <v>933</v>
      </c>
      <c r="R44">
        <v>7.0000000000000007E-2</v>
      </c>
      <c r="S44">
        <v>0.08</v>
      </c>
      <c r="T44">
        <v>0.05</v>
      </c>
      <c r="U44">
        <v>0.4</v>
      </c>
      <c r="V44">
        <v>34.700000000000003</v>
      </c>
      <c r="W44">
        <v>0.13</v>
      </c>
      <c r="X44">
        <v>9</v>
      </c>
      <c r="Y44">
        <v>0.6</v>
      </c>
      <c r="Z44">
        <v>140</v>
      </c>
      <c r="AA44">
        <v>2.2999999999999998</v>
      </c>
      <c r="AB44">
        <v>57</v>
      </c>
      <c r="AC44">
        <v>31</v>
      </c>
      <c r="AD44" s="8">
        <v>7.6</v>
      </c>
      <c r="AE44">
        <v>17</v>
      </c>
      <c r="AF44">
        <v>0.4</v>
      </c>
      <c r="AG44">
        <v>3.3</v>
      </c>
      <c r="AH44">
        <v>0.2</v>
      </c>
      <c r="AI44">
        <v>0</v>
      </c>
    </row>
    <row r="45" spans="1:35" x14ac:dyDescent="0.25">
      <c r="A45">
        <v>44</v>
      </c>
      <c r="B45" t="s">
        <v>121</v>
      </c>
      <c r="C45" t="s">
        <v>85</v>
      </c>
      <c r="D45">
        <v>119</v>
      </c>
      <c r="E45">
        <v>0.1</v>
      </c>
      <c r="F45">
        <v>0</v>
      </c>
      <c r="G45">
        <v>0</v>
      </c>
      <c r="H45">
        <v>0</v>
      </c>
      <c r="I45">
        <v>4.5999999999999996</v>
      </c>
      <c r="J45" s="8">
        <v>3.9</v>
      </c>
      <c r="K45">
        <v>0.7</v>
      </c>
      <c r="L45">
        <v>2.2000000000000002</v>
      </c>
      <c r="M45">
        <v>1.1000000000000001</v>
      </c>
      <c r="N45">
        <v>680</v>
      </c>
      <c r="O45">
        <v>340</v>
      </c>
      <c r="P45">
        <v>4081</v>
      </c>
      <c r="Q45">
        <v>2659</v>
      </c>
      <c r="R45">
        <v>0.05</v>
      </c>
      <c r="S45">
        <v>7.0000000000000007E-2</v>
      </c>
      <c r="T45">
        <v>0.09</v>
      </c>
      <c r="U45">
        <v>0.5</v>
      </c>
      <c r="V45">
        <v>20.2</v>
      </c>
      <c r="W45">
        <v>0.48</v>
      </c>
      <c r="X45">
        <v>14.9</v>
      </c>
      <c r="Y45">
        <v>0.1</v>
      </c>
      <c r="Z45">
        <v>400</v>
      </c>
      <c r="AA45">
        <v>0.9</v>
      </c>
      <c r="AB45">
        <v>65</v>
      </c>
      <c r="AC45">
        <v>41</v>
      </c>
      <c r="AD45" s="8">
        <v>8.4</v>
      </c>
      <c r="AE45">
        <v>27</v>
      </c>
      <c r="AF45">
        <v>0.2</v>
      </c>
      <c r="AG45">
        <v>0.2</v>
      </c>
      <c r="AH45">
        <v>0.1</v>
      </c>
      <c r="AI45">
        <v>0.2</v>
      </c>
    </row>
    <row r="46" spans="1:35" x14ac:dyDescent="0.25">
      <c r="A46">
        <v>45</v>
      </c>
      <c r="B46" t="s">
        <v>17</v>
      </c>
      <c r="C46" t="s">
        <v>85</v>
      </c>
      <c r="D46">
        <v>124</v>
      </c>
      <c r="E46">
        <v>0.3</v>
      </c>
      <c r="F46">
        <v>0</v>
      </c>
      <c r="G46">
        <v>0</v>
      </c>
      <c r="H46">
        <v>0.2</v>
      </c>
      <c r="I46">
        <v>3.7</v>
      </c>
      <c r="J46" s="8">
        <v>3.5</v>
      </c>
      <c r="K46">
        <v>0.2</v>
      </c>
      <c r="L46">
        <v>2.8</v>
      </c>
      <c r="M46">
        <v>1.6</v>
      </c>
      <c r="N46">
        <v>23</v>
      </c>
      <c r="O46">
        <v>11</v>
      </c>
      <c r="P46">
        <v>136</v>
      </c>
      <c r="Q46">
        <v>136</v>
      </c>
      <c r="R46">
        <v>0.12</v>
      </c>
      <c r="S46">
        <v>0.04</v>
      </c>
      <c r="T46">
        <v>0.3</v>
      </c>
      <c r="U46">
        <v>0.4</v>
      </c>
      <c r="V46">
        <v>96</v>
      </c>
      <c r="W46">
        <v>0.14000000000000001</v>
      </c>
      <c r="X46">
        <v>19.2</v>
      </c>
      <c r="Y46">
        <v>0.51</v>
      </c>
      <c r="Z46">
        <v>240</v>
      </c>
      <c r="AA46">
        <v>5.0999999999999996</v>
      </c>
      <c r="AB46">
        <v>53</v>
      </c>
      <c r="AC46">
        <v>25</v>
      </c>
      <c r="AD46" s="8">
        <v>8.8000000000000007</v>
      </c>
      <c r="AE46">
        <v>28</v>
      </c>
      <c r="AF46">
        <v>0.4</v>
      </c>
      <c r="AG46">
        <v>8.6</v>
      </c>
      <c r="AH46">
        <v>0.2</v>
      </c>
      <c r="AI46">
        <v>0.2</v>
      </c>
    </row>
    <row r="47" spans="1:35" x14ac:dyDescent="0.25">
      <c r="A47">
        <v>46</v>
      </c>
      <c r="B47" t="s">
        <v>122</v>
      </c>
      <c r="C47" t="s">
        <v>85</v>
      </c>
      <c r="D47">
        <v>391</v>
      </c>
      <c r="E47">
        <v>1.2</v>
      </c>
      <c r="F47">
        <v>0.2</v>
      </c>
      <c r="G47">
        <v>0.3</v>
      </c>
      <c r="H47">
        <v>0.5</v>
      </c>
      <c r="I47">
        <v>15.7</v>
      </c>
      <c r="J47" s="8">
        <v>3.4</v>
      </c>
      <c r="K47">
        <v>12.3</v>
      </c>
      <c r="L47">
        <v>2.8</v>
      </c>
      <c r="M47">
        <v>3.3</v>
      </c>
      <c r="N47">
        <v>19</v>
      </c>
      <c r="O47">
        <v>9</v>
      </c>
      <c r="P47">
        <v>113</v>
      </c>
      <c r="Q47">
        <v>47</v>
      </c>
      <c r="R47">
        <v>0.15</v>
      </c>
      <c r="S47">
        <v>0.12</v>
      </c>
      <c r="T47">
        <v>0.22</v>
      </c>
      <c r="U47">
        <v>1.7</v>
      </c>
      <c r="V47">
        <v>43</v>
      </c>
      <c r="W47">
        <v>0.89</v>
      </c>
      <c r="X47">
        <v>12</v>
      </c>
      <c r="Y47">
        <v>0.1</v>
      </c>
      <c r="Z47">
        <v>290</v>
      </c>
      <c r="AA47">
        <v>0.3</v>
      </c>
      <c r="AB47">
        <v>7.3</v>
      </c>
      <c r="AC47">
        <v>2.2000000000000002</v>
      </c>
      <c r="AD47" s="8">
        <v>27</v>
      </c>
      <c r="AE47">
        <v>83</v>
      </c>
      <c r="AF47">
        <v>0.4</v>
      </c>
      <c r="AG47">
        <v>3.3</v>
      </c>
      <c r="AH47">
        <v>0.6</v>
      </c>
      <c r="AI47">
        <v>0</v>
      </c>
    </row>
    <row r="48" spans="1:35" x14ac:dyDescent="0.25">
      <c r="A48" s="8">
        <v>47</v>
      </c>
      <c r="B48" s="8" t="s">
        <v>37</v>
      </c>
      <c r="C48" t="s">
        <v>84</v>
      </c>
      <c r="D48">
        <v>200</v>
      </c>
      <c r="E48">
        <v>0.2</v>
      </c>
      <c r="F48">
        <v>0</v>
      </c>
      <c r="G48">
        <v>0</v>
      </c>
      <c r="H48">
        <v>0</v>
      </c>
      <c r="I48">
        <v>9.1999999999999993</v>
      </c>
      <c r="J48" s="8">
        <v>8.6</v>
      </c>
      <c r="K48">
        <v>0</v>
      </c>
      <c r="L48">
        <v>1.7</v>
      </c>
      <c r="M48">
        <v>0.8</v>
      </c>
      <c r="N48">
        <v>30</v>
      </c>
      <c r="O48">
        <v>15</v>
      </c>
      <c r="P48">
        <v>178</v>
      </c>
      <c r="Q48">
        <v>148</v>
      </c>
      <c r="R48">
        <v>0.09</v>
      </c>
      <c r="S48">
        <v>0.03</v>
      </c>
      <c r="T48">
        <v>0.06</v>
      </c>
      <c r="U48">
        <v>0.32</v>
      </c>
      <c r="V48">
        <v>18.100000000000001</v>
      </c>
      <c r="W48">
        <v>0.19</v>
      </c>
      <c r="X48">
        <v>39.4</v>
      </c>
      <c r="Y48">
        <v>0.21</v>
      </c>
      <c r="Z48">
        <v>140</v>
      </c>
      <c r="AA48">
        <v>1</v>
      </c>
      <c r="AB48">
        <v>4</v>
      </c>
      <c r="AC48">
        <v>23</v>
      </c>
      <c r="AD48" s="8">
        <v>9.3000000000000007</v>
      </c>
      <c r="AE48">
        <v>18</v>
      </c>
      <c r="AF48">
        <v>0.1</v>
      </c>
      <c r="AG48">
        <v>1</v>
      </c>
      <c r="AH48">
        <v>0.1</v>
      </c>
      <c r="AI48">
        <v>0.5</v>
      </c>
    </row>
    <row r="49" spans="1:35" x14ac:dyDescent="0.25">
      <c r="A49" s="8">
        <v>48</v>
      </c>
      <c r="B49" s="8" t="s">
        <v>36</v>
      </c>
      <c r="C49" t="s">
        <v>84</v>
      </c>
      <c r="D49">
        <v>289</v>
      </c>
      <c r="E49">
        <v>0.6</v>
      </c>
      <c r="F49">
        <v>0.1</v>
      </c>
      <c r="G49">
        <v>0.2</v>
      </c>
      <c r="H49">
        <v>0.1</v>
      </c>
      <c r="I49">
        <v>14.3</v>
      </c>
      <c r="J49" s="8">
        <v>12.9</v>
      </c>
      <c r="K49">
        <v>1.1000000000000001</v>
      </c>
      <c r="L49">
        <v>1.6</v>
      </c>
      <c r="M49">
        <v>0.6</v>
      </c>
      <c r="N49">
        <v>88</v>
      </c>
      <c r="O49">
        <v>44</v>
      </c>
      <c r="P49">
        <v>530</v>
      </c>
      <c r="Q49">
        <v>530</v>
      </c>
      <c r="R49">
        <v>0.03</v>
      </c>
      <c r="S49">
        <v>0.04</v>
      </c>
      <c r="T49">
        <v>0.06</v>
      </c>
      <c r="U49">
        <v>0.5</v>
      </c>
      <c r="V49">
        <v>50.4</v>
      </c>
      <c r="W49">
        <v>0.18</v>
      </c>
      <c r="X49">
        <v>37.299999999999997</v>
      </c>
      <c r="Y49">
        <v>0.93</v>
      </c>
      <c r="Z49">
        <v>150</v>
      </c>
      <c r="AA49">
        <v>4</v>
      </c>
      <c r="AB49">
        <v>27</v>
      </c>
      <c r="AC49">
        <v>15</v>
      </c>
      <c r="AD49" s="8">
        <v>9</v>
      </c>
      <c r="AE49">
        <v>13</v>
      </c>
      <c r="AF49">
        <v>0.1</v>
      </c>
      <c r="AG49">
        <v>1.6</v>
      </c>
      <c r="AH49">
        <v>0.1</v>
      </c>
      <c r="AI49">
        <v>0.2</v>
      </c>
    </row>
    <row r="50" spans="1:35" x14ac:dyDescent="0.25">
      <c r="A50" s="8">
        <v>49</v>
      </c>
      <c r="B50" s="8" t="s">
        <v>39</v>
      </c>
      <c r="C50" t="s">
        <v>85</v>
      </c>
      <c r="D50">
        <v>97</v>
      </c>
      <c r="E50">
        <v>0.2</v>
      </c>
      <c r="F50">
        <v>0</v>
      </c>
      <c r="G50">
        <v>0</v>
      </c>
      <c r="H50">
        <v>0</v>
      </c>
      <c r="I50">
        <v>2.7</v>
      </c>
      <c r="J50" s="8">
        <v>0.5</v>
      </c>
      <c r="K50">
        <v>2.2000000000000002</v>
      </c>
      <c r="L50">
        <v>1</v>
      </c>
      <c r="M50">
        <v>2.1</v>
      </c>
      <c r="N50">
        <v>236</v>
      </c>
      <c r="O50">
        <v>118</v>
      </c>
      <c r="P50">
        <v>1415</v>
      </c>
      <c r="Q50">
        <v>1415</v>
      </c>
      <c r="R50">
        <v>7.0000000000000007E-2</v>
      </c>
      <c r="S50">
        <v>0.13</v>
      </c>
      <c r="T50">
        <v>0.08</v>
      </c>
      <c r="U50">
        <v>0.4</v>
      </c>
      <c r="V50">
        <v>17.8</v>
      </c>
      <c r="W50">
        <v>0.18</v>
      </c>
      <c r="X50">
        <v>21.3</v>
      </c>
      <c r="Y50">
        <v>0.25</v>
      </c>
      <c r="Z50">
        <v>380</v>
      </c>
      <c r="AA50">
        <v>170</v>
      </c>
      <c r="AB50">
        <v>100</v>
      </c>
      <c r="AC50">
        <v>80</v>
      </c>
      <c r="AD50" s="8">
        <v>81</v>
      </c>
      <c r="AE50">
        <v>43</v>
      </c>
      <c r="AF50">
        <v>2.2999999999999998</v>
      </c>
      <c r="AG50">
        <v>1</v>
      </c>
      <c r="AH50">
        <v>0.3</v>
      </c>
      <c r="AI50">
        <v>0</v>
      </c>
    </row>
    <row r="51" spans="1:35" x14ac:dyDescent="0.25">
      <c r="A51">
        <v>50</v>
      </c>
      <c r="B51" t="s">
        <v>123</v>
      </c>
      <c r="C51" t="s">
        <v>85</v>
      </c>
      <c r="D51">
        <v>594</v>
      </c>
      <c r="E51">
        <v>0.2</v>
      </c>
      <c r="F51">
        <v>0.1</v>
      </c>
      <c r="G51">
        <v>0.1</v>
      </c>
      <c r="H51">
        <v>0</v>
      </c>
      <c r="I51">
        <v>32.1</v>
      </c>
      <c r="J51" s="8">
        <v>0.5</v>
      </c>
      <c r="K51">
        <v>31.6</v>
      </c>
      <c r="L51">
        <v>2.9</v>
      </c>
      <c r="M51">
        <v>1</v>
      </c>
      <c r="N51">
        <v>5</v>
      </c>
      <c r="O51">
        <v>3</v>
      </c>
      <c r="P51">
        <v>30</v>
      </c>
      <c r="Q51">
        <v>30</v>
      </c>
      <c r="R51">
        <v>0.06</v>
      </c>
      <c r="S51">
        <v>0.03</v>
      </c>
      <c r="T51">
        <v>0.2</v>
      </c>
      <c r="U51">
        <v>0.6</v>
      </c>
      <c r="V51">
        <v>24</v>
      </c>
      <c r="W51">
        <v>0.5</v>
      </c>
      <c r="X51">
        <v>30</v>
      </c>
      <c r="Y51">
        <v>0</v>
      </c>
      <c r="Z51">
        <v>270</v>
      </c>
      <c r="AA51">
        <v>1</v>
      </c>
      <c r="AB51">
        <v>50</v>
      </c>
      <c r="AC51">
        <v>32</v>
      </c>
      <c r="AD51" s="8">
        <v>65</v>
      </c>
      <c r="AE51">
        <v>38</v>
      </c>
      <c r="AF51">
        <v>0.7</v>
      </c>
      <c r="AG51">
        <v>2</v>
      </c>
      <c r="AH51">
        <v>0.3</v>
      </c>
      <c r="AI51">
        <v>0.7</v>
      </c>
    </row>
    <row r="52" spans="1:35" x14ac:dyDescent="0.25">
      <c r="A52">
        <v>51</v>
      </c>
      <c r="B52" t="s">
        <v>124</v>
      </c>
      <c r="C52" t="s">
        <v>84</v>
      </c>
      <c r="D52">
        <v>323</v>
      </c>
      <c r="E52">
        <v>0.2</v>
      </c>
      <c r="F52">
        <v>0</v>
      </c>
      <c r="G52">
        <v>0</v>
      </c>
      <c r="H52">
        <v>0</v>
      </c>
      <c r="I52">
        <v>18</v>
      </c>
      <c r="J52" s="8">
        <v>13.3</v>
      </c>
      <c r="K52">
        <v>0</v>
      </c>
      <c r="L52">
        <v>2.2000000000000002</v>
      </c>
      <c r="M52">
        <v>0.6</v>
      </c>
      <c r="N52">
        <v>49</v>
      </c>
      <c r="O52">
        <v>24</v>
      </c>
      <c r="P52">
        <v>292</v>
      </c>
      <c r="Q52">
        <v>263</v>
      </c>
      <c r="R52">
        <v>7.0000000000000007E-2</v>
      </c>
      <c r="S52">
        <v>0.02</v>
      </c>
      <c r="T52">
        <v>0.05</v>
      </c>
      <c r="U52">
        <v>0.16</v>
      </c>
      <c r="V52">
        <v>7.8</v>
      </c>
      <c r="W52">
        <v>0.17</v>
      </c>
      <c r="X52">
        <v>5.5</v>
      </c>
      <c r="Y52">
        <v>0.27</v>
      </c>
      <c r="Z52">
        <v>240</v>
      </c>
      <c r="AA52">
        <v>0</v>
      </c>
      <c r="AB52">
        <v>0</v>
      </c>
      <c r="AC52">
        <v>11</v>
      </c>
      <c r="AD52" s="8">
        <v>8.1999999999999993</v>
      </c>
      <c r="AE52">
        <v>21</v>
      </c>
      <c r="AF52">
        <v>0.1</v>
      </c>
      <c r="AG52">
        <v>1</v>
      </c>
      <c r="AH52">
        <v>0.1</v>
      </c>
      <c r="AI52">
        <v>1.3</v>
      </c>
    </row>
    <row r="53" spans="1:35" x14ac:dyDescent="0.25">
      <c r="A53">
        <v>52</v>
      </c>
      <c r="B53" t="s">
        <v>125</v>
      </c>
      <c r="C53" t="s">
        <v>85</v>
      </c>
      <c r="D53">
        <v>119</v>
      </c>
      <c r="E53">
        <v>0.3</v>
      </c>
      <c r="F53">
        <v>0.1</v>
      </c>
      <c r="G53">
        <v>0</v>
      </c>
      <c r="H53">
        <v>0.2</v>
      </c>
      <c r="I53">
        <v>0.5</v>
      </c>
      <c r="J53" s="8">
        <v>0.1</v>
      </c>
      <c r="K53">
        <v>0</v>
      </c>
      <c r="L53">
        <v>7</v>
      </c>
      <c r="M53">
        <v>2.5</v>
      </c>
      <c r="N53">
        <v>0</v>
      </c>
      <c r="O53">
        <v>0</v>
      </c>
      <c r="P53">
        <v>0</v>
      </c>
      <c r="Q53">
        <v>0</v>
      </c>
      <c r="R53">
        <v>0.13</v>
      </c>
      <c r="S53">
        <v>0.06</v>
      </c>
      <c r="T53">
        <v>0.05</v>
      </c>
      <c r="U53">
        <v>5</v>
      </c>
      <c r="V53">
        <v>25</v>
      </c>
      <c r="W53">
        <v>2.5</v>
      </c>
      <c r="X53">
        <v>5</v>
      </c>
      <c r="Y53">
        <v>0.19</v>
      </c>
      <c r="Z53">
        <v>390</v>
      </c>
      <c r="AA53">
        <v>2</v>
      </c>
      <c r="AB53">
        <v>8</v>
      </c>
      <c r="AC53">
        <v>11</v>
      </c>
      <c r="AD53" s="8">
        <v>16</v>
      </c>
      <c r="AE53">
        <v>160</v>
      </c>
      <c r="AF53">
        <v>1.2</v>
      </c>
      <c r="AG53">
        <v>10</v>
      </c>
      <c r="AH53">
        <v>0.5</v>
      </c>
      <c r="AI53">
        <v>0</v>
      </c>
    </row>
    <row r="54" spans="1:35" x14ac:dyDescent="0.25">
      <c r="A54">
        <v>53</v>
      </c>
      <c r="B54" t="s">
        <v>126</v>
      </c>
      <c r="C54" t="s">
        <v>84</v>
      </c>
      <c r="D54">
        <v>231</v>
      </c>
      <c r="E54">
        <v>0.3</v>
      </c>
      <c r="F54">
        <v>0</v>
      </c>
      <c r="G54">
        <v>0.1</v>
      </c>
      <c r="H54">
        <v>0.1</v>
      </c>
      <c r="I54">
        <v>11.3</v>
      </c>
      <c r="J54" s="8">
        <v>8.8000000000000007</v>
      </c>
      <c r="K54">
        <v>0</v>
      </c>
      <c r="L54">
        <v>1.3</v>
      </c>
      <c r="M54">
        <v>1</v>
      </c>
      <c r="N54">
        <v>30</v>
      </c>
      <c r="O54">
        <v>15</v>
      </c>
      <c r="P54">
        <v>178</v>
      </c>
      <c r="Q54">
        <v>130</v>
      </c>
      <c r="R54">
        <v>0.02</v>
      </c>
      <c r="S54">
        <v>0.02</v>
      </c>
      <c r="T54">
        <v>0.02</v>
      </c>
      <c r="U54">
        <v>0.64</v>
      </c>
      <c r="V54">
        <v>8</v>
      </c>
      <c r="W54">
        <v>0.24</v>
      </c>
      <c r="X54">
        <v>4.5999999999999996</v>
      </c>
      <c r="Y54">
        <v>0.43</v>
      </c>
      <c r="Z54">
        <v>260</v>
      </c>
      <c r="AA54">
        <v>1</v>
      </c>
      <c r="AB54">
        <v>7</v>
      </c>
      <c r="AC54">
        <v>7</v>
      </c>
      <c r="AD54" s="8">
        <v>9</v>
      </c>
      <c r="AE54">
        <v>25</v>
      </c>
      <c r="AF54">
        <v>0.2</v>
      </c>
      <c r="AG54">
        <v>3</v>
      </c>
      <c r="AH54">
        <v>0.1</v>
      </c>
      <c r="AI54">
        <v>0.2</v>
      </c>
    </row>
    <row r="55" spans="1:35" x14ac:dyDescent="0.25">
      <c r="A55">
        <v>54</v>
      </c>
      <c r="B55" t="s">
        <v>127</v>
      </c>
      <c r="C55" t="s">
        <v>84</v>
      </c>
      <c r="D55">
        <v>192</v>
      </c>
      <c r="E55">
        <v>0.2</v>
      </c>
      <c r="F55">
        <v>0</v>
      </c>
      <c r="G55">
        <v>0</v>
      </c>
      <c r="H55">
        <v>0</v>
      </c>
      <c r="I55">
        <v>8</v>
      </c>
      <c r="J55" s="8">
        <v>7.6</v>
      </c>
      <c r="K55">
        <v>0.4</v>
      </c>
      <c r="L55">
        <v>2.7</v>
      </c>
      <c r="M55">
        <v>0.8</v>
      </c>
      <c r="N55">
        <v>26</v>
      </c>
      <c r="O55">
        <v>13</v>
      </c>
      <c r="P55">
        <v>154</v>
      </c>
      <c r="Q55">
        <v>72</v>
      </c>
      <c r="R55">
        <v>0.09</v>
      </c>
      <c r="S55">
        <v>0.03</v>
      </c>
      <c r="T55">
        <v>0.05</v>
      </c>
      <c r="U55">
        <v>0.35</v>
      </c>
      <c r="V55">
        <v>18.8</v>
      </c>
      <c r="W55">
        <v>0.18</v>
      </c>
      <c r="X55">
        <v>50.9</v>
      </c>
      <c r="Y55">
        <v>0.19</v>
      </c>
      <c r="Z55">
        <v>180</v>
      </c>
      <c r="AA55">
        <v>0</v>
      </c>
      <c r="AB55">
        <v>4</v>
      </c>
      <c r="AC55">
        <v>45</v>
      </c>
      <c r="AD55" s="8">
        <v>15</v>
      </c>
      <c r="AE55">
        <v>38</v>
      </c>
      <c r="AF55">
        <v>0.3</v>
      </c>
      <c r="AG55">
        <v>1</v>
      </c>
      <c r="AH55">
        <v>0.2</v>
      </c>
      <c r="AI55">
        <v>0.5</v>
      </c>
    </row>
    <row r="56" spans="1:35" x14ac:dyDescent="0.25">
      <c r="A56">
        <v>55</v>
      </c>
      <c r="B56" t="s">
        <v>128</v>
      </c>
      <c r="C56" t="s">
        <v>84</v>
      </c>
      <c r="D56">
        <v>188</v>
      </c>
      <c r="E56">
        <v>0.1</v>
      </c>
      <c r="F56">
        <v>0</v>
      </c>
      <c r="G56">
        <v>0</v>
      </c>
      <c r="H56">
        <v>0</v>
      </c>
      <c r="I56">
        <v>9.5</v>
      </c>
      <c r="J56" s="8">
        <v>9.5</v>
      </c>
      <c r="K56">
        <v>0</v>
      </c>
      <c r="L56">
        <v>1.8</v>
      </c>
      <c r="M56">
        <v>0.5</v>
      </c>
      <c r="N56">
        <v>75</v>
      </c>
      <c r="O56">
        <v>37</v>
      </c>
      <c r="P56">
        <v>449</v>
      </c>
      <c r="Q56">
        <v>169</v>
      </c>
      <c r="R56">
        <v>0.03</v>
      </c>
      <c r="S56">
        <v>0.03</v>
      </c>
      <c r="T56">
        <v>0.04</v>
      </c>
      <c r="U56">
        <v>0.33</v>
      </c>
      <c r="V56">
        <v>17.8</v>
      </c>
      <c r="W56">
        <v>0.16</v>
      </c>
      <c r="X56">
        <v>67.8</v>
      </c>
      <c r="Y56">
        <v>0.28000000000000003</v>
      </c>
      <c r="Z56">
        <v>220</v>
      </c>
      <c r="AA56">
        <v>14</v>
      </c>
      <c r="AB56">
        <v>6</v>
      </c>
      <c r="AC56">
        <v>21</v>
      </c>
      <c r="AD56" s="8">
        <v>17</v>
      </c>
      <c r="AE56">
        <v>9</v>
      </c>
      <c r="AF56">
        <v>0.2</v>
      </c>
      <c r="AG56">
        <v>0.1</v>
      </c>
      <c r="AH56">
        <v>0.1</v>
      </c>
      <c r="AI56">
        <v>0.9</v>
      </c>
    </row>
    <row r="57" spans="1:35" x14ac:dyDescent="0.25">
      <c r="A57">
        <v>56</v>
      </c>
      <c r="B57" t="s">
        <v>129</v>
      </c>
      <c r="C57" t="s">
        <v>84</v>
      </c>
      <c r="D57">
        <v>426</v>
      </c>
      <c r="E57">
        <v>3</v>
      </c>
      <c r="F57">
        <v>0.5</v>
      </c>
      <c r="G57">
        <v>0.5</v>
      </c>
      <c r="H57">
        <v>1.8</v>
      </c>
      <c r="I57">
        <v>10.9</v>
      </c>
      <c r="J57" s="8">
        <v>8.5</v>
      </c>
      <c r="K57">
        <v>1.2</v>
      </c>
      <c r="L57">
        <v>6.8</v>
      </c>
      <c r="M57">
        <v>2.1</v>
      </c>
      <c r="N57">
        <v>127</v>
      </c>
      <c r="O57">
        <v>64</v>
      </c>
      <c r="P57">
        <v>764</v>
      </c>
      <c r="Q57">
        <v>670</v>
      </c>
      <c r="R57">
        <v>0</v>
      </c>
      <c r="S57">
        <v>7.0000000000000007E-2</v>
      </c>
      <c r="T57">
        <v>0.23</v>
      </c>
      <c r="U57">
        <v>1.47</v>
      </c>
      <c r="V57">
        <v>102.6</v>
      </c>
      <c r="W57">
        <v>0.27</v>
      </c>
      <c r="X57">
        <v>25.6</v>
      </c>
      <c r="Y57">
        <v>0.4</v>
      </c>
      <c r="Z57">
        <v>240</v>
      </c>
      <c r="AA57">
        <v>5</v>
      </c>
      <c r="AB57">
        <v>37</v>
      </c>
      <c r="AC57">
        <v>8.1</v>
      </c>
      <c r="AD57" s="8">
        <v>26</v>
      </c>
      <c r="AE57">
        <v>46</v>
      </c>
      <c r="AF57">
        <v>0.6</v>
      </c>
      <c r="AG57">
        <v>1.3</v>
      </c>
      <c r="AH57">
        <v>0.8</v>
      </c>
      <c r="AI57">
        <v>0.2</v>
      </c>
    </row>
    <row r="58" spans="1:35" x14ac:dyDescent="0.25">
      <c r="A58">
        <v>57</v>
      </c>
      <c r="B58" t="s">
        <v>130</v>
      </c>
      <c r="C58" t="s">
        <v>85</v>
      </c>
      <c r="D58">
        <v>260</v>
      </c>
      <c r="E58">
        <v>0.4</v>
      </c>
      <c r="F58">
        <v>0.1</v>
      </c>
      <c r="G58">
        <v>0</v>
      </c>
      <c r="H58">
        <v>0.3</v>
      </c>
      <c r="I58">
        <v>12.1</v>
      </c>
      <c r="J58" s="8">
        <v>3.1</v>
      </c>
      <c r="K58">
        <v>9</v>
      </c>
      <c r="L58">
        <v>2.1</v>
      </c>
      <c r="M58">
        <v>1.3</v>
      </c>
      <c r="N58">
        <v>3</v>
      </c>
      <c r="O58">
        <v>2</v>
      </c>
      <c r="P58">
        <v>20</v>
      </c>
      <c r="Q58">
        <v>20</v>
      </c>
      <c r="R58">
        <v>0.1</v>
      </c>
      <c r="S58">
        <v>0.13</v>
      </c>
      <c r="T58">
        <v>0.09</v>
      </c>
      <c r="U58">
        <v>0.94</v>
      </c>
      <c r="V58">
        <v>43.2</v>
      </c>
      <c r="W58">
        <v>0.52</v>
      </c>
      <c r="X58">
        <v>19.7</v>
      </c>
      <c r="Y58">
        <v>0.88</v>
      </c>
      <c r="Z58">
        <v>430</v>
      </c>
      <c r="AA58">
        <v>3.8</v>
      </c>
      <c r="AB58">
        <v>36</v>
      </c>
      <c r="AC58">
        <v>42</v>
      </c>
      <c r="AD58" s="8">
        <v>21</v>
      </c>
      <c r="AE58">
        <v>71</v>
      </c>
      <c r="AF58">
        <v>0.4</v>
      </c>
      <c r="AG58">
        <v>3.6</v>
      </c>
      <c r="AH58">
        <v>0.5</v>
      </c>
      <c r="AI58">
        <v>0.6</v>
      </c>
    </row>
    <row r="59" spans="1:35" x14ac:dyDescent="0.25">
      <c r="A59">
        <v>58</v>
      </c>
      <c r="B59" t="s">
        <v>131</v>
      </c>
      <c r="C59" t="s">
        <v>85</v>
      </c>
      <c r="D59">
        <v>85</v>
      </c>
      <c r="E59">
        <v>0.3</v>
      </c>
      <c r="F59">
        <v>0.1</v>
      </c>
      <c r="G59">
        <v>0</v>
      </c>
      <c r="H59">
        <v>0.2</v>
      </c>
      <c r="I59">
        <v>2.6</v>
      </c>
      <c r="J59" s="8">
        <v>2.5</v>
      </c>
      <c r="K59">
        <v>0.1</v>
      </c>
      <c r="L59">
        <v>2</v>
      </c>
      <c r="M59">
        <v>0.8</v>
      </c>
      <c r="N59">
        <v>42</v>
      </c>
      <c r="O59">
        <v>21</v>
      </c>
      <c r="P59">
        <v>250</v>
      </c>
      <c r="Q59">
        <v>217</v>
      </c>
      <c r="R59">
        <v>0.03</v>
      </c>
      <c r="S59">
        <v>0.01</v>
      </c>
      <c r="T59">
        <v>0.28000000000000003</v>
      </c>
      <c r="U59">
        <v>0.1</v>
      </c>
      <c r="V59">
        <v>27.6</v>
      </c>
      <c r="W59">
        <v>0.13</v>
      </c>
      <c r="X59">
        <v>126.6</v>
      </c>
      <c r="Y59">
        <v>0.7</v>
      </c>
      <c r="Z59">
        <v>160</v>
      </c>
      <c r="AA59">
        <v>6</v>
      </c>
      <c r="AB59">
        <v>19</v>
      </c>
      <c r="AC59">
        <v>6</v>
      </c>
      <c r="AD59" s="8">
        <v>6</v>
      </c>
      <c r="AE59">
        <v>15</v>
      </c>
      <c r="AF59">
        <v>0.3</v>
      </c>
      <c r="AG59">
        <v>2</v>
      </c>
      <c r="AH59">
        <v>0.2</v>
      </c>
      <c r="AI59">
        <v>0</v>
      </c>
    </row>
    <row r="60" spans="1:35" x14ac:dyDescent="0.25">
      <c r="A60">
        <v>59</v>
      </c>
      <c r="B60" t="s">
        <v>132</v>
      </c>
      <c r="C60" t="s">
        <v>85</v>
      </c>
      <c r="D60">
        <v>133</v>
      </c>
      <c r="E60">
        <v>0.4</v>
      </c>
      <c r="F60">
        <v>0.1</v>
      </c>
      <c r="G60">
        <v>0</v>
      </c>
      <c r="H60">
        <v>0.1</v>
      </c>
      <c r="I60">
        <v>5.2</v>
      </c>
      <c r="J60" s="8">
        <v>5.0999999999999996</v>
      </c>
      <c r="K60">
        <v>0.1</v>
      </c>
      <c r="L60">
        <v>2</v>
      </c>
      <c r="M60">
        <v>0.9</v>
      </c>
      <c r="N60">
        <v>152</v>
      </c>
      <c r="O60">
        <v>76</v>
      </c>
      <c r="P60">
        <v>910</v>
      </c>
      <c r="Q60">
        <v>696</v>
      </c>
      <c r="R60">
        <v>0.03</v>
      </c>
      <c r="S60">
        <v>0.03</v>
      </c>
      <c r="T60">
        <v>0.27</v>
      </c>
      <c r="U60">
        <v>0.9</v>
      </c>
      <c r="V60">
        <v>28.2</v>
      </c>
      <c r="W60">
        <v>0.16</v>
      </c>
      <c r="X60">
        <v>149.30000000000001</v>
      </c>
      <c r="Y60">
        <v>2.2599999999999998</v>
      </c>
      <c r="Z60">
        <v>170</v>
      </c>
      <c r="AA60">
        <v>3</v>
      </c>
      <c r="AB60">
        <v>18</v>
      </c>
      <c r="AC60">
        <v>9</v>
      </c>
      <c r="AD60" s="8">
        <v>12</v>
      </c>
      <c r="AE60">
        <v>20</v>
      </c>
      <c r="AF60">
        <v>0.4</v>
      </c>
      <c r="AG60">
        <v>1</v>
      </c>
      <c r="AH60">
        <v>0.3</v>
      </c>
      <c r="AI60">
        <v>0</v>
      </c>
    </row>
    <row r="61" spans="1:35" x14ac:dyDescent="0.25">
      <c r="A61">
        <v>60</v>
      </c>
      <c r="B61" t="s">
        <v>133</v>
      </c>
      <c r="C61" t="s">
        <v>85</v>
      </c>
      <c r="D61">
        <v>245</v>
      </c>
      <c r="E61">
        <v>0.5</v>
      </c>
      <c r="F61">
        <v>0.1</v>
      </c>
      <c r="G61">
        <v>0</v>
      </c>
      <c r="H61">
        <v>0.2</v>
      </c>
      <c r="I61">
        <v>7.4</v>
      </c>
      <c r="J61" s="8">
        <v>4.8</v>
      </c>
      <c r="K61">
        <v>2.6</v>
      </c>
      <c r="L61">
        <v>4.3</v>
      </c>
      <c r="M61">
        <v>3.9</v>
      </c>
      <c r="N61">
        <v>770</v>
      </c>
      <c r="O61">
        <v>385</v>
      </c>
      <c r="P61">
        <v>4620</v>
      </c>
      <c r="Q61">
        <v>4620</v>
      </c>
      <c r="R61">
        <v>0.15</v>
      </c>
      <c r="S61">
        <v>0.3</v>
      </c>
      <c r="T61">
        <v>0.2</v>
      </c>
      <c r="U61">
        <v>1.4</v>
      </c>
      <c r="V61">
        <v>132</v>
      </c>
      <c r="W61">
        <v>0.31</v>
      </c>
      <c r="X61">
        <v>182</v>
      </c>
      <c r="Y61">
        <v>3.54</v>
      </c>
      <c r="Z61">
        <v>850</v>
      </c>
      <c r="AA61">
        <v>38</v>
      </c>
      <c r="AB61">
        <v>160</v>
      </c>
      <c r="AC61">
        <v>210</v>
      </c>
      <c r="AD61" s="8">
        <v>37</v>
      </c>
      <c r="AE61">
        <v>110</v>
      </c>
      <c r="AF61">
        <v>5.9</v>
      </c>
      <c r="AG61">
        <v>3.4</v>
      </c>
      <c r="AH61">
        <v>0.8</v>
      </c>
      <c r="AI61">
        <v>0</v>
      </c>
    </row>
    <row r="62" spans="1:35" x14ac:dyDescent="0.25">
      <c r="A62">
        <v>61</v>
      </c>
      <c r="B62" t="s">
        <v>134</v>
      </c>
      <c r="C62" t="s">
        <v>85</v>
      </c>
      <c r="D62">
        <v>205</v>
      </c>
      <c r="E62">
        <v>0.7</v>
      </c>
      <c r="F62">
        <v>0.1</v>
      </c>
      <c r="G62">
        <v>0</v>
      </c>
      <c r="H62">
        <v>0.4</v>
      </c>
      <c r="I62">
        <v>5.3</v>
      </c>
      <c r="J62" s="8">
        <v>5.2</v>
      </c>
      <c r="K62">
        <v>0.1</v>
      </c>
      <c r="L62">
        <v>3</v>
      </c>
      <c r="M62">
        <v>3.8</v>
      </c>
      <c r="N62">
        <v>122</v>
      </c>
      <c r="O62">
        <v>61</v>
      </c>
      <c r="P62">
        <v>730</v>
      </c>
      <c r="Q62">
        <v>730</v>
      </c>
      <c r="R62">
        <v>0.12</v>
      </c>
      <c r="S62">
        <v>0.33</v>
      </c>
      <c r="T62">
        <v>0.05</v>
      </c>
      <c r="U62">
        <v>1.1000000000000001</v>
      </c>
      <c r="V62">
        <v>110</v>
      </c>
      <c r="W62">
        <v>0.19</v>
      </c>
      <c r="X62">
        <v>31</v>
      </c>
      <c r="Y62">
        <v>5</v>
      </c>
      <c r="Z62">
        <v>260</v>
      </c>
      <c r="AA62">
        <v>15</v>
      </c>
      <c r="AB62">
        <v>34</v>
      </c>
      <c r="AC62">
        <v>210</v>
      </c>
      <c r="AD62" s="8">
        <v>30</v>
      </c>
      <c r="AE62">
        <v>75</v>
      </c>
      <c r="AF62">
        <v>9.5</v>
      </c>
      <c r="AG62">
        <v>4</v>
      </c>
      <c r="AH62">
        <v>1.2</v>
      </c>
      <c r="AI62">
        <v>0</v>
      </c>
    </row>
    <row r="63" spans="1:35" x14ac:dyDescent="0.25">
      <c r="A63">
        <v>62</v>
      </c>
      <c r="B63" t="s">
        <v>135</v>
      </c>
      <c r="C63" t="s">
        <v>84</v>
      </c>
      <c r="D63">
        <v>183</v>
      </c>
      <c r="E63">
        <v>0.1</v>
      </c>
      <c r="F63">
        <v>0</v>
      </c>
      <c r="G63">
        <v>0</v>
      </c>
      <c r="H63">
        <v>0</v>
      </c>
      <c r="I63">
        <v>8.9</v>
      </c>
      <c r="J63" s="8">
        <v>8</v>
      </c>
      <c r="K63">
        <v>0</v>
      </c>
      <c r="L63">
        <v>1.9</v>
      </c>
      <c r="M63">
        <v>0.8</v>
      </c>
      <c r="N63">
        <v>25</v>
      </c>
      <c r="O63">
        <v>12</v>
      </c>
      <c r="P63">
        <v>147</v>
      </c>
      <c r="Q63">
        <v>147</v>
      </c>
      <c r="R63">
        <v>0.01</v>
      </c>
      <c r="S63">
        <v>0.03</v>
      </c>
      <c r="T63">
        <v>0.02</v>
      </c>
      <c r="U63">
        <v>0.63</v>
      </c>
      <c r="V63">
        <v>4.5</v>
      </c>
      <c r="W63">
        <v>0.18</v>
      </c>
      <c r="X63">
        <v>6.1</v>
      </c>
      <c r="Y63">
        <v>0.96</v>
      </c>
      <c r="Z63">
        <v>190</v>
      </c>
      <c r="AA63">
        <v>1.3</v>
      </c>
      <c r="AB63">
        <v>2.6</v>
      </c>
      <c r="AC63">
        <v>7.3</v>
      </c>
      <c r="AD63" s="8">
        <v>9</v>
      </c>
      <c r="AE63">
        <v>21</v>
      </c>
      <c r="AF63">
        <v>0.2</v>
      </c>
      <c r="AG63">
        <v>3</v>
      </c>
      <c r="AH63">
        <v>0.1</v>
      </c>
      <c r="AI63">
        <v>1.3</v>
      </c>
    </row>
    <row r="64" spans="1:35" x14ac:dyDescent="0.25">
      <c r="A64">
        <v>63</v>
      </c>
      <c r="B64" t="s">
        <v>136</v>
      </c>
      <c r="C64" t="s">
        <v>84</v>
      </c>
      <c r="D64">
        <v>203</v>
      </c>
      <c r="E64">
        <v>0.2</v>
      </c>
      <c r="F64">
        <v>0</v>
      </c>
      <c r="G64">
        <v>0</v>
      </c>
      <c r="H64">
        <v>0.1</v>
      </c>
      <c r="I64">
        <v>10.199999999999999</v>
      </c>
      <c r="J64" s="8">
        <v>8.8000000000000007</v>
      </c>
      <c r="K64">
        <v>0</v>
      </c>
      <c r="L64">
        <v>1.6</v>
      </c>
      <c r="M64">
        <v>0.6</v>
      </c>
      <c r="N64">
        <v>30</v>
      </c>
      <c r="O64">
        <v>15</v>
      </c>
      <c r="P64">
        <v>179</v>
      </c>
      <c r="Q64">
        <v>176</v>
      </c>
      <c r="R64">
        <v>0.04</v>
      </c>
      <c r="S64">
        <v>0.04</v>
      </c>
      <c r="T64">
        <v>0.03</v>
      </c>
      <c r="U64">
        <v>0.45</v>
      </c>
      <c r="V64">
        <v>2</v>
      </c>
      <c r="W64">
        <v>0.17</v>
      </c>
      <c r="X64">
        <v>5.2</v>
      </c>
      <c r="Y64">
        <v>0.27</v>
      </c>
      <c r="Z64">
        <v>160</v>
      </c>
      <c r="AA64">
        <v>1.7</v>
      </c>
      <c r="AB64">
        <v>1.5</v>
      </c>
      <c r="AC64">
        <v>8.3000000000000007</v>
      </c>
      <c r="AD64" s="8">
        <v>7.4</v>
      </c>
      <c r="AE64">
        <v>16</v>
      </c>
      <c r="AF64">
        <v>0.3</v>
      </c>
      <c r="AG64">
        <v>1.4</v>
      </c>
      <c r="AH64">
        <v>0.1</v>
      </c>
      <c r="AI64">
        <v>0.6</v>
      </c>
    </row>
    <row r="65" spans="1:35" x14ac:dyDescent="0.25">
      <c r="A65">
        <v>64</v>
      </c>
      <c r="B65" t="s">
        <v>45</v>
      </c>
      <c r="C65" t="s">
        <v>84</v>
      </c>
      <c r="D65">
        <v>153</v>
      </c>
      <c r="E65">
        <v>0.5</v>
      </c>
      <c r="F65">
        <v>0</v>
      </c>
      <c r="G65">
        <v>0.1</v>
      </c>
      <c r="H65">
        <v>0.3</v>
      </c>
      <c r="I65">
        <v>6.2</v>
      </c>
      <c r="J65" s="8">
        <v>6.1</v>
      </c>
      <c r="K65">
        <v>0.1</v>
      </c>
      <c r="L65">
        <v>2.9</v>
      </c>
      <c r="M65">
        <v>0.3</v>
      </c>
      <c r="N65">
        <v>2</v>
      </c>
      <c r="O65">
        <v>1</v>
      </c>
      <c r="P65">
        <v>9</v>
      </c>
      <c r="Q65">
        <v>9</v>
      </c>
      <c r="R65">
        <v>0.02</v>
      </c>
      <c r="S65">
        <v>0.02</v>
      </c>
      <c r="T65">
        <v>0.01</v>
      </c>
      <c r="U65">
        <v>0.1</v>
      </c>
      <c r="V65">
        <v>3</v>
      </c>
      <c r="W65">
        <v>0</v>
      </c>
      <c r="X65">
        <v>12</v>
      </c>
      <c r="Y65">
        <v>0.94</v>
      </c>
      <c r="Z65">
        <v>81</v>
      </c>
      <c r="AA65">
        <v>2</v>
      </c>
      <c r="AB65">
        <v>4</v>
      </c>
      <c r="AC65">
        <v>14</v>
      </c>
      <c r="AD65" s="8">
        <v>6</v>
      </c>
      <c r="AE65">
        <v>10</v>
      </c>
      <c r="AF65">
        <v>0.5</v>
      </c>
      <c r="AG65">
        <v>5</v>
      </c>
      <c r="AH65">
        <v>0.2</v>
      </c>
      <c r="AI65">
        <v>0</v>
      </c>
    </row>
    <row r="66" spans="1:35" x14ac:dyDescent="0.25">
      <c r="A66" s="8">
        <v>65</v>
      </c>
      <c r="B66" s="8" t="s">
        <v>13</v>
      </c>
      <c r="C66" t="s">
        <v>84</v>
      </c>
      <c r="D66">
        <v>197</v>
      </c>
      <c r="E66">
        <v>0.5</v>
      </c>
      <c r="F66">
        <v>0</v>
      </c>
      <c r="G66">
        <v>0.2</v>
      </c>
      <c r="H66">
        <v>0.2</v>
      </c>
      <c r="I66">
        <v>7.3</v>
      </c>
      <c r="J66" s="8">
        <v>7.3</v>
      </c>
      <c r="K66">
        <v>0</v>
      </c>
      <c r="L66">
        <v>5.9</v>
      </c>
      <c r="M66">
        <v>0.4</v>
      </c>
      <c r="N66">
        <v>4</v>
      </c>
      <c r="O66">
        <v>2</v>
      </c>
      <c r="P66">
        <v>24</v>
      </c>
      <c r="Q66">
        <v>24</v>
      </c>
      <c r="R66">
        <v>0.03</v>
      </c>
      <c r="S66">
        <v>0.03</v>
      </c>
      <c r="T66">
        <v>0.04</v>
      </c>
      <c r="U66">
        <v>0.2</v>
      </c>
      <c r="V66">
        <v>8</v>
      </c>
      <c r="W66">
        <v>0.08</v>
      </c>
      <c r="X66">
        <v>13</v>
      </c>
      <c r="Y66">
        <v>0.4</v>
      </c>
      <c r="Z66">
        <v>180</v>
      </c>
      <c r="AA66">
        <v>2</v>
      </c>
      <c r="AB66">
        <v>1.7</v>
      </c>
      <c r="AC66">
        <v>10</v>
      </c>
      <c r="AD66" s="8">
        <v>8.1999999999999993</v>
      </c>
      <c r="AE66">
        <v>20</v>
      </c>
      <c r="AF66">
        <v>0.6</v>
      </c>
      <c r="AG66">
        <v>1</v>
      </c>
      <c r="AH66">
        <v>0.2</v>
      </c>
      <c r="AI66">
        <v>0</v>
      </c>
    </row>
    <row r="67" spans="1:35" x14ac:dyDescent="0.25">
      <c r="A67">
        <v>66</v>
      </c>
      <c r="B67" t="s">
        <v>137</v>
      </c>
      <c r="C67" t="s">
        <v>85</v>
      </c>
      <c r="D67">
        <v>72</v>
      </c>
      <c r="E67">
        <v>0.1</v>
      </c>
      <c r="F67">
        <v>0</v>
      </c>
      <c r="G67">
        <v>0</v>
      </c>
      <c r="H67">
        <v>0.1</v>
      </c>
      <c r="I67">
        <v>2.1</v>
      </c>
      <c r="J67" s="8">
        <v>2.1</v>
      </c>
      <c r="K67">
        <v>0</v>
      </c>
      <c r="L67">
        <v>1.6</v>
      </c>
      <c r="M67">
        <v>1.1000000000000001</v>
      </c>
      <c r="N67">
        <v>2</v>
      </c>
      <c r="O67">
        <v>1</v>
      </c>
      <c r="P67">
        <v>10</v>
      </c>
      <c r="Q67">
        <v>10</v>
      </c>
      <c r="R67">
        <v>0.02</v>
      </c>
      <c r="S67">
        <v>0.03</v>
      </c>
      <c r="T67">
        <v>0.05</v>
      </c>
      <c r="U67">
        <v>0.25</v>
      </c>
      <c r="V67">
        <v>20.3</v>
      </c>
      <c r="W67">
        <v>0.1</v>
      </c>
      <c r="X67">
        <v>19.7</v>
      </c>
      <c r="Y67">
        <v>0.01</v>
      </c>
      <c r="Z67">
        <v>300</v>
      </c>
      <c r="AA67">
        <v>29</v>
      </c>
      <c r="AB67">
        <v>38</v>
      </c>
      <c r="AC67">
        <v>34</v>
      </c>
      <c r="AD67" s="8">
        <v>10</v>
      </c>
      <c r="AE67">
        <v>18</v>
      </c>
      <c r="AF67">
        <v>0.4</v>
      </c>
      <c r="AG67">
        <v>1.2</v>
      </c>
      <c r="AH67">
        <v>0.1</v>
      </c>
      <c r="AI67">
        <v>0.1</v>
      </c>
    </row>
    <row r="68" spans="1:35" x14ac:dyDescent="0.25">
      <c r="A68">
        <v>67</v>
      </c>
      <c r="B68" t="s">
        <v>138</v>
      </c>
      <c r="C68" t="s">
        <v>85</v>
      </c>
      <c r="D68">
        <v>192</v>
      </c>
      <c r="E68">
        <v>0.1</v>
      </c>
      <c r="F68">
        <v>0</v>
      </c>
      <c r="G68">
        <v>0</v>
      </c>
      <c r="H68">
        <v>0.1</v>
      </c>
      <c r="I68">
        <v>8.4</v>
      </c>
      <c r="J68" s="8">
        <v>8.4</v>
      </c>
      <c r="K68">
        <v>0</v>
      </c>
      <c r="L68">
        <v>2.5</v>
      </c>
      <c r="M68">
        <v>1.5</v>
      </c>
      <c r="N68">
        <v>1</v>
      </c>
      <c r="O68">
        <v>1</v>
      </c>
      <c r="P68">
        <v>7</v>
      </c>
      <c r="Q68">
        <v>7</v>
      </c>
      <c r="R68">
        <v>0.02</v>
      </c>
      <c r="S68">
        <v>0.04</v>
      </c>
      <c r="T68">
        <v>0.04</v>
      </c>
      <c r="U68">
        <v>0.23</v>
      </c>
      <c r="V68">
        <v>83</v>
      </c>
      <c r="W68">
        <v>0.15</v>
      </c>
      <c r="X68">
        <v>5.5</v>
      </c>
      <c r="Y68">
        <v>0.05</v>
      </c>
      <c r="Z68">
        <v>430</v>
      </c>
      <c r="AA68">
        <v>49</v>
      </c>
      <c r="AB68">
        <v>76</v>
      </c>
      <c r="AC68">
        <v>16</v>
      </c>
      <c r="AD68" s="8">
        <v>21</v>
      </c>
      <c r="AE68">
        <v>23</v>
      </c>
      <c r="AF68">
        <v>0.3</v>
      </c>
      <c r="AG68">
        <v>0.4</v>
      </c>
      <c r="AH68">
        <v>0.3</v>
      </c>
      <c r="AI68">
        <v>0.2</v>
      </c>
    </row>
    <row r="69" spans="1:35" x14ac:dyDescent="0.25">
      <c r="A69">
        <v>68</v>
      </c>
      <c r="B69" t="s">
        <v>139</v>
      </c>
      <c r="C69" t="s">
        <v>85</v>
      </c>
      <c r="D69">
        <v>76</v>
      </c>
      <c r="E69">
        <v>0.3</v>
      </c>
      <c r="F69">
        <v>0</v>
      </c>
      <c r="G69">
        <v>0</v>
      </c>
      <c r="H69">
        <v>0</v>
      </c>
      <c r="I69">
        <v>2.6</v>
      </c>
      <c r="J69" s="8">
        <v>2.6</v>
      </c>
      <c r="K69">
        <v>0</v>
      </c>
      <c r="L69">
        <v>1.2</v>
      </c>
      <c r="M69">
        <v>0.6</v>
      </c>
      <c r="N69">
        <v>7</v>
      </c>
      <c r="O69">
        <v>4</v>
      </c>
      <c r="P69">
        <v>44</v>
      </c>
      <c r="Q69">
        <v>44</v>
      </c>
      <c r="R69">
        <v>0.03</v>
      </c>
      <c r="S69">
        <v>0.04</v>
      </c>
      <c r="T69">
        <v>0.06</v>
      </c>
      <c r="U69">
        <v>0.3</v>
      </c>
      <c r="V69">
        <v>46.6</v>
      </c>
      <c r="W69">
        <v>0.1</v>
      </c>
      <c r="X69">
        <v>15.7</v>
      </c>
      <c r="Y69">
        <v>0</v>
      </c>
      <c r="Z69">
        <v>250</v>
      </c>
      <c r="AA69">
        <v>9.9</v>
      </c>
      <c r="AB69">
        <v>24</v>
      </c>
      <c r="AC69">
        <v>28</v>
      </c>
      <c r="AD69" s="8">
        <v>6.5</v>
      </c>
      <c r="AE69">
        <v>20</v>
      </c>
      <c r="AF69">
        <v>0.3</v>
      </c>
      <c r="AG69">
        <v>1.2</v>
      </c>
      <c r="AH69">
        <v>0.2</v>
      </c>
      <c r="AI69">
        <v>0.2</v>
      </c>
    </row>
    <row r="70" spans="1:35" x14ac:dyDescent="0.25">
      <c r="A70">
        <v>69</v>
      </c>
      <c r="B70" t="s">
        <v>140</v>
      </c>
      <c r="C70" t="s">
        <v>84</v>
      </c>
      <c r="D70">
        <v>91</v>
      </c>
      <c r="E70">
        <v>0.2</v>
      </c>
      <c r="F70">
        <v>0.1</v>
      </c>
      <c r="G70">
        <v>0</v>
      </c>
      <c r="H70">
        <v>0.1</v>
      </c>
      <c r="I70">
        <v>1.5</v>
      </c>
      <c r="J70" s="8">
        <v>1.5</v>
      </c>
      <c r="K70">
        <v>0</v>
      </c>
      <c r="L70">
        <v>2.5</v>
      </c>
      <c r="M70">
        <v>0.8</v>
      </c>
      <c r="N70">
        <v>18</v>
      </c>
      <c r="O70">
        <v>9</v>
      </c>
      <c r="P70">
        <v>108</v>
      </c>
      <c r="Q70">
        <v>108</v>
      </c>
      <c r="R70">
        <v>0.02</v>
      </c>
      <c r="S70">
        <v>0.03</v>
      </c>
      <c r="T70">
        <v>0.05</v>
      </c>
      <c r="U70">
        <v>0.23</v>
      </c>
      <c r="V70">
        <v>8.5</v>
      </c>
      <c r="W70">
        <v>7.0000000000000007E-2</v>
      </c>
      <c r="X70">
        <v>12.1</v>
      </c>
      <c r="Y70">
        <v>0.31</v>
      </c>
      <c r="Z70">
        <v>240</v>
      </c>
      <c r="AA70">
        <v>3</v>
      </c>
      <c r="AB70">
        <v>60</v>
      </c>
      <c r="AC70">
        <v>130</v>
      </c>
      <c r="AD70" s="8">
        <v>14</v>
      </c>
      <c r="AE70">
        <v>19</v>
      </c>
      <c r="AF70">
        <v>0.3</v>
      </c>
      <c r="AG70">
        <v>2.2999999999999998</v>
      </c>
      <c r="AH70">
        <v>0.2</v>
      </c>
      <c r="AI70">
        <v>0.5</v>
      </c>
    </row>
    <row r="71" spans="1:35" x14ac:dyDescent="0.25">
      <c r="A71">
        <v>70</v>
      </c>
      <c r="B71" t="s">
        <v>141</v>
      </c>
      <c r="C71" t="s">
        <v>85</v>
      </c>
      <c r="D71">
        <v>170</v>
      </c>
      <c r="E71">
        <v>0.4</v>
      </c>
      <c r="F71">
        <v>0.1</v>
      </c>
      <c r="G71">
        <v>0</v>
      </c>
      <c r="H71">
        <v>0.2</v>
      </c>
      <c r="I71">
        <v>3.3</v>
      </c>
      <c r="J71" s="8">
        <v>2.8</v>
      </c>
      <c r="K71">
        <v>0.5</v>
      </c>
      <c r="L71">
        <v>4</v>
      </c>
      <c r="M71">
        <v>4</v>
      </c>
      <c r="N71">
        <v>19</v>
      </c>
      <c r="O71">
        <v>10</v>
      </c>
      <c r="P71">
        <v>115</v>
      </c>
      <c r="Q71">
        <v>115</v>
      </c>
      <c r="R71">
        <v>0.14000000000000001</v>
      </c>
      <c r="S71">
        <v>0.13</v>
      </c>
      <c r="T71">
        <v>0.3</v>
      </c>
      <c r="U71">
        <v>0.59</v>
      </c>
      <c r="V71">
        <v>46.5</v>
      </c>
      <c r="W71">
        <v>0.59</v>
      </c>
      <c r="X71">
        <v>145.6</v>
      </c>
      <c r="Y71">
        <v>0.89</v>
      </c>
      <c r="Z71">
        <v>430</v>
      </c>
      <c r="AA71">
        <v>5.8</v>
      </c>
      <c r="AB71">
        <v>31</v>
      </c>
      <c r="AC71">
        <v>31</v>
      </c>
      <c r="AD71" s="8">
        <v>21</v>
      </c>
      <c r="AE71">
        <v>78</v>
      </c>
      <c r="AF71">
        <v>0.6</v>
      </c>
      <c r="AG71">
        <v>0.7</v>
      </c>
      <c r="AH71">
        <v>0.4</v>
      </c>
      <c r="AI71">
        <v>3.2</v>
      </c>
    </row>
    <row r="72" spans="1:35" x14ac:dyDescent="0.25">
      <c r="A72">
        <v>71</v>
      </c>
      <c r="B72" t="s">
        <v>142</v>
      </c>
      <c r="C72" t="s">
        <v>85</v>
      </c>
      <c r="D72">
        <v>260</v>
      </c>
      <c r="E72">
        <v>2.5</v>
      </c>
      <c r="F72">
        <v>0.5</v>
      </c>
      <c r="G72">
        <v>0.1</v>
      </c>
      <c r="H72">
        <v>1.4</v>
      </c>
      <c r="I72">
        <v>7.7</v>
      </c>
      <c r="J72" s="8">
        <v>7.6</v>
      </c>
      <c r="K72">
        <v>0.1</v>
      </c>
      <c r="L72">
        <v>2.9</v>
      </c>
      <c r="M72">
        <v>0.8</v>
      </c>
      <c r="N72">
        <v>92</v>
      </c>
      <c r="O72">
        <v>46</v>
      </c>
      <c r="P72">
        <v>550</v>
      </c>
      <c r="Q72">
        <v>550</v>
      </c>
      <c r="R72">
        <v>0.09</v>
      </c>
      <c r="S72">
        <v>0.12</v>
      </c>
      <c r="T72">
        <v>0.05</v>
      </c>
      <c r="U72">
        <v>0.17</v>
      </c>
      <c r="V72">
        <v>0</v>
      </c>
      <c r="W72">
        <v>0</v>
      </c>
      <c r="X72">
        <v>16.5</v>
      </c>
      <c r="Y72">
        <v>0.86</v>
      </c>
      <c r="Z72">
        <v>160</v>
      </c>
      <c r="AA72">
        <v>8</v>
      </c>
      <c r="AB72">
        <v>33</v>
      </c>
      <c r="AC72">
        <v>210</v>
      </c>
      <c r="AD72" s="8">
        <v>36</v>
      </c>
      <c r="AE72">
        <v>12</v>
      </c>
      <c r="AF72">
        <v>4.8</v>
      </c>
      <c r="AG72">
        <v>1</v>
      </c>
      <c r="AH72">
        <v>0.5</v>
      </c>
      <c r="AI72">
        <v>0</v>
      </c>
    </row>
    <row r="73" spans="1:35" x14ac:dyDescent="0.25">
      <c r="A73">
        <v>72</v>
      </c>
      <c r="B73" t="s">
        <v>143</v>
      </c>
      <c r="C73" t="s">
        <v>85</v>
      </c>
      <c r="D73">
        <v>121</v>
      </c>
      <c r="E73">
        <v>0.2</v>
      </c>
      <c r="F73">
        <v>0</v>
      </c>
      <c r="G73">
        <v>0</v>
      </c>
      <c r="H73">
        <v>0.1</v>
      </c>
      <c r="I73">
        <v>4.3</v>
      </c>
      <c r="J73" s="8">
        <v>3.9</v>
      </c>
      <c r="K73">
        <v>0.1</v>
      </c>
      <c r="L73">
        <v>2.6</v>
      </c>
      <c r="M73">
        <v>1.1000000000000001</v>
      </c>
      <c r="N73">
        <v>3</v>
      </c>
      <c r="O73">
        <v>1</v>
      </c>
      <c r="P73">
        <v>16</v>
      </c>
      <c r="Q73">
        <v>16</v>
      </c>
      <c r="R73">
        <v>0.08</v>
      </c>
      <c r="S73">
        <v>0.04</v>
      </c>
      <c r="T73">
        <v>0.17</v>
      </c>
      <c r="U73">
        <v>0.12</v>
      </c>
      <c r="V73">
        <v>23.2</v>
      </c>
      <c r="W73">
        <v>0.37</v>
      </c>
      <c r="X73">
        <v>52.7</v>
      </c>
      <c r="Y73">
        <v>0.49</v>
      </c>
      <c r="Z73">
        <v>280</v>
      </c>
      <c r="AA73">
        <v>5.8</v>
      </c>
      <c r="AB73">
        <v>21</v>
      </c>
      <c r="AC73">
        <v>34</v>
      </c>
      <c r="AD73" s="8">
        <v>11</v>
      </c>
      <c r="AE73">
        <v>28</v>
      </c>
      <c r="AF73">
        <v>0.4</v>
      </c>
      <c r="AG73">
        <v>2.9</v>
      </c>
      <c r="AH73">
        <v>0.2</v>
      </c>
      <c r="AI73">
        <v>0.5</v>
      </c>
    </row>
    <row r="74" spans="1:35" x14ac:dyDescent="0.25">
      <c r="A74">
        <v>73</v>
      </c>
      <c r="B74" t="s">
        <v>144</v>
      </c>
      <c r="C74" t="s">
        <v>85</v>
      </c>
      <c r="D74">
        <v>119</v>
      </c>
      <c r="E74">
        <v>0.7</v>
      </c>
      <c r="F74">
        <v>0.1</v>
      </c>
      <c r="G74">
        <v>0.1</v>
      </c>
      <c r="H74">
        <v>0.3</v>
      </c>
      <c r="I74">
        <v>2.1</v>
      </c>
      <c r="J74" s="8">
        <v>2.1</v>
      </c>
      <c r="K74">
        <v>0</v>
      </c>
      <c r="L74">
        <v>1.6</v>
      </c>
      <c r="M74">
        <v>2.6</v>
      </c>
      <c r="N74">
        <v>397</v>
      </c>
      <c r="O74">
        <v>198</v>
      </c>
      <c r="P74">
        <v>2381</v>
      </c>
      <c r="Q74">
        <v>2244</v>
      </c>
      <c r="R74">
        <v>0.08</v>
      </c>
      <c r="S74">
        <v>0.09</v>
      </c>
      <c r="T74">
        <v>0.14000000000000001</v>
      </c>
      <c r="U74">
        <v>0.3</v>
      </c>
      <c r="V74">
        <v>97</v>
      </c>
      <c r="W74">
        <v>0.23</v>
      </c>
      <c r="X74">
        <v>62.5</v>
      </c>
      <c r="Y74">
        <v>0.43</v>
      </c>
      <c r="Z74">
        <v>370</v>
      </c>
      <c r="AA74">
        <v>27</v>
      </c>
      <c r="AB74">
        <v>0</v>
      </c>
      <c r="AC74">
        <v>160</v>
      </c>
      <c r="AD74" s="8">
        <v>0</v>
      </c>
      <c r="AE74">
        <v>52</v>
      </c>
      <c r="AF74">
        <v>1.5</v>
      </c>
      <c r="AG74">
        <v>0</v>
      </c>
      <c r="AH74">
        <v>0.4</v>
      </c>
      <c r="AI74">
        <v>0</v>
      </c>
    </row>
    <row r="75" spans="1:35" x14ac:dyDescent="0.25">
      <c r="A75">
        <v>74</v>
      </c>
      <c r="B75" t="s">
        <v>145</v>
      </c>
      <c r="C75" t="s">
        <v>85</v>
      </c>
      <c r="D75">
        <v>246</v>
      </c>
      <c r="E75">
        <v>2.1</v>
      </c>
      <c r="F75">
        <v>1.1000000000000001</v>
      </c>
      <c r="G75">
        <v>0.3</v>
      </c>
      <c r="H75">
        <v>0.3</v>
      </c>
      <c r="I75">
        <v>6.9</v>
      </c>
      <c r="J75" s="8">
        <v>6.8</v>
      </c>
      <c r="K75">
        <v>0.1</v>
      </c>
      <c r="L75">
        <v>2.9</v>
      </c>
      <c r="M75">
        <v>1.7</v>
      </c>
      <c r="N75">
        <v>471</v>
      </c>
      <c r="O75">
        <v>235</v>
      </c>
      <c r="P75">
        <v>2824</v>
      </c>
      <c r="Q75">
        <v>2780</v>
      </c>
      <c r="R75">
        <v>0.12</v>
      </c>
      <c r="S75">
        <v>0.06</v>
      </c>
      <c r="T75">
        <v>0.54</v>
      </c>
      <c r="U75">
        <v>0.92</v>
      </c>
      <c r="V75">
        <v>0</v>
      </c>
      <c r="W75">
        <v>0</v>
      </c>
      <c r="X75">
        <v>0</v>
      </c>
      <c r="Y75">
        <v>0.75</v>
      </c>
      <c r="Z75">
        <v>170</v>
      </c>
      <c r="AA75">
        <v>2</v>
      </c>
      <c r="AB75">
        <v>32</v>
      </c>
      <c r="AC75">
        <v>270</v>
      </c>
      <c r="AD75" s="8">
        <v>69</v>
      </c>
      <c r="AE75">
        <v>15</v>
      </c>
      <c r="AF75">
        <v>4.5</v>
      </c>
      <c r="AG75">
        <v>1</v>
      </c>
      <c r="AH75">
        <v>0.8</v>
      </c>
      <c r="AI75">
        <v>0</v>
      </c>
    </row>
    <row r="76" spans="1:35" x14ac:dyDescent="0.25">
      <c r="A76" s="8">
        <v>75</v>
      </c>
      <c r="B76" s="8" t="s">
        <v>35</v>
      </c>
      <c r="C76" t="s">
        <v>85</v>
      </c>
      <c r="D76">
        <v>124</v>
      </c>
      <c r="E76">
        <v>0.6</v>
      </c>
      <c r="F76">
        <v>0.1</v>
      </c>
      <c r="G76">
        <v>0.1</v>
      </c>
      <c r="H76">
        <v>0.2</v>
      </c>
      <c r="I76">
        <v>1.9</v>
      </c>
      <c r="J76" s="8">
        <v>1.9</v>
      </c>
      <c r="K76">
        <v>0</v>
      </c>
      <c r="L76">
        <v>2.2999999999999998</v>
      </c>
      <c r="M76">
        <v>3</v>
      </c>
      <c r="N76">
        <v>435</v>
      </c>
      <c r="O76">
        <v>218</v>
      </c>
      <c r="P76">
        <v>2612</v>
      </c>
      <c r="Q76">
        <v>2612</v>
      </c>
      <c r="R76">
        <v>0.08</v>
      </c>
      <c r="S76">
        <v>0.11</v>
      </c>
      <c r="T76">
        <v>0.13</v>
      </c>
      <c r="U76">
        <v>0.7</v>
      </c>
      <c r="V76">
        <v>130</v>
      </c>
      <c r="W76">
        <v>0.3</v>
      </c>
      <c r="X76">
        <v>60</v>
      </c>
      <c r="Y76">
        <v>1.6</v>
      </c>
      <c r="Z76">
        <v>280</v>
      </c>
      <c r="AA76">
        <v>3</v>
      </c>
      <c r="AB76">
        <v>74</v>
      </c>
      <c r="AC76">
        <v>86</v>
      </c>
      <c r="AD76" s="8">
        <v>40</v>
      </c>
      <c r="AE76">
        <v>54</v>
      </c>
      <c r="AF76">
        <v>1.5</v>
      </c>
      <c r="AG76">
        <v>4.2</v>
      </c>
      <c r="AH76">
        <v>0.5</v>
      </c>
      <c r="AI76">
        <v>0</v>
      </c>
    </row>
    <row r="77" spans="1:35" x14ac:dyDescent="0.25">
      <c r="A77">
        <v>76</v>
      </c>
      <c r="B77" t="s">
        <v>19</v>
      </c>
      <c r="C77" t="s">
        <v>85</v>
      </c>
      <c r="D77">
        <v>222</v>
      </c>
      <c r="E77">
        <v>0.4</v>
      </c>
      <c r="F77">
        <v>0.1</v>
      </c>
      <c r="G77">
        <v>0</v>
      </c>
      <c r="H77">
        <v>0.2</v>
      </c>
      <c r="I77">
        <v>2.1</v>
      </c>
      <c r="J77" s="8">
        <v>2</v>
      </c>
      <c r="K77">
        <v>0.1</v>
      </c>
      <c r="L77">
        <v>18.3</v>
      </c>
      <c r="M77">
        <v>1.4</v>
      </c>
      <c r="N77">
        <v>9</v>
      </c>
      <c r="O77">
        <v>4</v>
      </c>
      <c r="P77">
        <v>52</v>
      </c>
      <c r="Q77">
        <v>52</v>
      </c>
      <c r="R77">
        <v>0.14000000000000001</v>
      </c>
      <c r="S77">
        <v>0.04</v>
      </c>
      <c r="T77">
        <v>0.09</v>
      </c>
      <c r="U77">
        <v>0.35</v>
      </c>
      <c r="V77">
        <v>35.4</v>
      </c>
      <c r="W77">
        <v>0.17</v>
      </c>
      <c r="X77">
        <v>4.9000000000000004</v>
      </c>
      <c r="Y77">
        <v>0.8</v>
      </c>
      <c r="Z77">
        <v>240</v>
      </c>
      <c r="AA77">
        <v>3</v>
      </c>
      <c r="AB77">
        <v>31</v>
      </c>
      <c r="AC77">
        <v>33</v>
      </c>
      <c r="AD77" s="8">
        <v>24</v>
      </c>
      <c r="AE77">
        <v>82</v>
      </c>
      <c r="AF77">
        <v>1.2</v>
      </c>
      <c r="AG77">
        <v>2.5</v>
      </c>
      <c r="AH77">
        <v>0.4</v>
      </c>
      <c r="AI77">
        <v>0.2</v>
      </c>
    </row>
    <row r="78" spans="1:35" x14ac:dyDescent="0.25">
      <c r="A78">
        <v>77</v>
      </c>
      <c r="B78" t="s">
        <v>146</v>
      </c>
      <c r="C78" t="s">
        <v>85</v>
      </c>
      <c r="D78">
        <v>231</v>
      </c>
      <c r="E78">
        <v>1</v>
      </c>
      <c r="F78">
        <v>0.1</v>
      </c>
      <c r="G78">
        <v>0.1</v>
      </c>
      <c r="H78">
        <v>0.7</v>
      </c>
      <c r="I78">
        <v>4.7</v>
      </c>
      <c r="J78" s="8">
        <v>4.5999999999999996</v>
      </c>
      <c r="K78">
        <v>0</v>
      </c>
      <c r="L78">
        <v>2.4</v>
      </c>
      <c r="M78">
        <v>5.5</v>
      </c>
      <c r="N78">
        <v>7</v>
      </c>
      <c r="O78">
        <v>3</v>
      </c>
      <c r="P78">
        <v>42</v>
      </c>
      <c r="Q78">
        <v>42</v>
      </c>
      <c r="R78">
        <v>0.08</v>
      </c>
      <c r="S78">
        <v>0.16</v>
      </c>
      <c r="T78">
        <v>0.09</v>
      </c>
      <c r="U78">
        <v>1.5</v>
      </c>
      <c r="V78">
        <v>160</v>
      </c>
      <c r="W78">
        <v>0.49</v>
      </c>
      <c r="X78">
        <v>9.6</v>
      </c>
      <c r="Y78">
        <v>0.1</v>
      </c>
      <c r="Z78">
        <v>240</v>
      </c>
      <c r="AA78">
        <v>30</v>
      </c>
      <c r="AB78">
        <v>47</v>
      </c>
      <c r="AC78">
        <v>32</v>
      </c>
      <c r="AD78" s="8">
        <v>19</v>
      </c>
      <c r="AE78">
        <v>75</v>
      </c>
      <c r="AF78">
        <v>0.9</v>
      </c>
      <c r="AG78">
        <v>2</v>
      </c>
      <c r="AH78">
        <v>1</v>
      </c>
      <c r="AI78">
        <v>0</v>
      </c>
    </row>
    <row r="79" spans="1:35" x14ac:dyDescent="0.25">
      <c r="A79">
        <v>78</v>
      </c>
      <c r="B79" t="s">
        <v>147</v>
      </c>
      <c r="C79" t="s">
        <v>85</v>
      </c>
      <c r="D79">
        <v>115</v>
      </c>
      <c r="E79">
        <v>0.2</v>
      </c>
      <c r="F79">
        <v>0</v>
      </c>
      <c r="G79">
        <v>0</v>
      </c>
      <c r="H79">
        <v>0</v>
      </c>
      <c r="I79">
        <v>3.3</v>
      </c>
      <c r="J79" s="8">
        <v>3.2</v>
      </c>
      <c r="K79">
        <v>0.1</v>
      </c>
      <c r="L79">
        <v>1.7</v>
      </c>
      <c r="M79">
        <v>2.2000000000000002</v>
      </c>
      <c r="N79">
        <v>26</v>
      </c>
      <c r="O79">
        <v>13</v>
      </c>
      <c r="P79">
        <v>156</v>
      </c>
      <c r="Q79">
        <v>148</v>
      </c>
      <c r="R79">
        <v>0.12</v>
      </c>
      <c r="S79">
        <v>0.13</v>
      </c>
      <c r="T79">
        <v>7.0000000000000007E-2</v>
      </c>
      <c r="U79">
        <v>1.1000000000000001</v>
      </c>
      <c r="V79">
        <v>76.3</v>
      </c>
      <c r="W79">
        <v>0.19</v>
      </c>
      <c r="X79">
        <v>14.9</v>
      </c>
      <c r="Y79">
        <v>1.1299999999999999</v>
      </c>
      <c r="Z79">
        <v>220</v>
      </c>
      <c r="AA79">
        <v>1.6</v>
      </c>
      <c r="AB79">
        <v>60</v>
      </c>
      <c r="AC79">
        <v>16</v>
      </c>
      <c r="AD79" s="8">
        <v>12</v>
      </c>
      <c r="AE79">
        <v>49</v>
      </c>
      <c r="AF79">
        <v>0.4</v>
      </c>
      <c r="AG79">
        <v>7</v>
      </c>
      <c r="AH79">
        <v>0.5</v>
      </c>
      <c r="AI79">
        <v>1.1000000000000001</v>
      </c>
    </row>
    <row r="80" spans="1:35" x14ac:dyDescent="0.25">
      <c r="A80">
        <v>79</v>
      </c>
      <c r="B80" t="s">
        <v>43</v>
      </c>
      <c r="C80" t="s">
        <v>85</v>
      </c>
      <c r="D80">
        <v>104</v>
      </c>
      <c r="E80">
        <v>0.6</v>
      </c>
      <c r="F80">
        <v>0.1</v>
      </c>
      <c r="G80">
        <v>0</v>
      </c>
      <c r="H80">
        <v>0.4</v>
      </c>
      <c r="I80">
        <v>1.3</v>
      </c>
      <c r="J80" s="8">
        <v>0.1</v>
      </c>
      <c r="K80">
        <v>0.1</v>
      </c>
      <c r="L80">
        <v>1.9</v>
      </c>
      <c r="M80">
        <v>2.6</v>
      </c>
      <c r="N80">
        <v>568</v>
      </c>
      <c r="O80">
        <v>284</v>
      </c>
      <c r="P80">
        <v>3406</v>
      </c>
      <c r="Q80">
        <v>3304</v>
      </c>
      <c r="R80">
        <v>7.0000000000000007E-2</v>
      </c>
      <c r="S80">
        <v>0.2</v>
      </c>
      <c r="T80">
        <v>0.21</v>
      </c>
      <c r="U80">
        <v>0.62</v>
      </c>
      <c r="V80">
        <v>94.4</v>
      </c>
      <c r="W80">
        <v>0.23</v>
      </c>
      <c r="X80">
        <v>51</v>
      </c>
      <c r="Y80">
        <v>1.3</v>
      </c>
      <c r="Z80">
        <v>590</v>
      </c>
      <c r="AA80">
        <v>69</v>
      </c>
      <c r="AB80">
        <v>100</v>
      </c>
      <c r="AC80">
        <v>100</v>
      </c>
      <c r="AD80" s="8">
        <v>89</v>
      </c>
      <c r="AE80">
        <v>46</v>
      </c>
      <c r="AF80">
        <v>1.8</v>
      </c>
      <c r="AG80">
        <v>12</v>
      </c>
      <c r="AH80">
        <v>0.6</v>
      </c>
      <c r="AI80">
        <v>0.4</v>
      </c>
    </row>
    <row r="81" spans="1:35" x14ac:dyDescent="0.25">
      <c r="A81" s="8">
        <v>80</v>
      </c>
      <c r="B81" s="8" t="s">
        <v>14</v>
      </c>
      <c r="C81" t="s">
        <v>84</v>
      </c>
      <c r="D81">
        <v>163</v>
      </c>
      <c r="E81">
        <v>0.2</v>
      </c>
      <c r="F81">
        <v>0</v>
      </c>
      <c r="G81">
        <v>0</v>
      </c>
      <c r="H81">
        <v>0.1</v>
      </c>
      <c r="I81">
        <v>7.1</v>
      </c>
      <c r="J81" s="8">
        <v>7.1</v>
      </c>
      <c r="K81">
        <v>0</v>
      </c>
      <c r="L81">
        <v>3</v>
      </c>
      <c r="M81">
        <v>0.8</v>
      </c>
      <c r="N81">
        <v>12</v>
      </c>
      <c r="O81">
        <v>6</v>
      </c>
      <c r="P81">
        <v>74</v>
      </c>
      <c r="Q81">
        <v>70</v>
      </c>
      <c r="R81">
        <v>0.02</v>
      </c>
      <c r="S81">
        <v>0.02</v>
      </c>
      <c r="T81">
        <v>0.02</v>
      </c>
      <c r="U81">
        <v>0.28000000000000003</v>
      </c>
      <c r="V81">
        <v>16</v>
      </c>
      <c r="W81">
        <v>0.19</v>
      </c>
      <c r="X81">
        <v>40.299999999999997</v>
      </c>
      <c r="Y81">
        <v>0.61</v>
      </c>
      <c r="Z81">
        <v>200</v>
      </c>
      <c r="AA81">
        <v>2</v>
      </c>
      <c r="AB81">
        <v>0.9</v>
      </c>
      <c r="AC81">
        <v>29</v>
      </c>
      <c r="AD81" s="8">
        <v>15</v>
      </c>
      <c r="AE81">
        <v>30</v>
      </c>
      <c r="AF81">
        <v>0.6</v>
      </c>
      <c r="AG81">
        <v>1</v>
      </c>
      <c r="AH81">
        <v>0.2</v>
      </c>
      <c r="AI81">
        <v>1.3</v>
      </c>
    </row>
    <row r="82" spans="1:35" x14ac:dyDescent="0.25">
      <c r="A82">
        <v>81</v>
      </c>
      <c r="B82" t="s">
        <v>148</v>
      </c>
      <c r="C82" t="s">
        <v>85</v>
      </c>
      <c r="D82">
        <v>84</v>
      </c>
      <c r="E82">
        <v>0.4</v>
      </c>
      <c r="F82">
        <v>0</v>
      </c>
      <c r="G82">
        <v>0</v>
      </c>
      <c r="H82">
        <v>0</v>
      </c>
      <c r="I82">
        <v>2.4</v>
      </c>
      <c r="J82" s="8">
        <v>1.3</v>
      </c>
      <c r="K82">
        <v>0.5</v>
      </c>
      <c r="L82">
        <v>2.2000000000000002</v>
      </c>
      <c r="M82">
        <v>0.6</v>
      </c>
      <c r="N82">
        <v>10</v>
      </c>
      <c r="O82">
        <v>5</v>
      </c>
      <c r="P82">
        <v>63</v>
      </c>
      <c r="Q82">
        <v>63</v>
      </c>
      <c r="R82">
        <v>0.03</v>
      </c>
      <c r="S82">
        <v>0.08</v>
      </c>
      <c r="T82">
        <v>0.06</v>
      </c>
      <c r="U82">
        <v>0.55000000000000004</v>
      </c>
      <c r="V82">
        <v>56.8</v>
      </c>
      <c r="W82">
        <v>0.27</v>
      </c>
      <c r="X82">
        <v>9.8000000000000007</v>
      </c>
      <c r="Y82">
        <v>0.06</v>
      </c>
      <c r="Z82">
        <v>390</v>
      </c>
      <c r="AA82">
        <v>79</v>
      </c>
      <c r="AB82">
        <v>220</v>
      </c>
      <c r="AC82">
        <v>46</v>
      </c>
      <c r="AD82" s="8">
        <v>11</v>
      </c>
      <c r="AE82">
        <v>24</v>
      </c>
      <c r="AF82">
        <v>0.1</v>
      </c>
      <c r="AG82">
        <v>1</v>
      </c>
      <c r="AH82">
        <v>0.1</v>
      </c>
      <c r="AI82">
        <v>0</v>
      </c>
    </row>
    <row r="83" spans="1:35" x14ac:dyDescent="0.25">
      <c r="A83">
        <v>82</v>
      </c>
      <c r="B83" t="s">
        <v>149</v>
      </c>
      <c r="C83" t="s">
        <v>85</v>
      </c>
      <c r="D83">
        <v>164</v>
      </c>
      <c r="E83">
        <v>0.4</v>
      </c>
      <c r="F83">
        <v>0.1</v>
      </c>
      <c r="G83">
        <v>0</v>
      </c>
      <c r="H83">
        <v>0.2</v>
      </c>
      <c r="I83">
        <v>0.5</v>
      </c>
      <c r="J83" s="8">
        <v>0.1</v>
      </c>
      <c r="K83">
        <v>0</v>
      </c>
      <c r="L83">
        <v>6</v>
      </c>
      <c r="M83">
        <v>5.4</v>
      </c>
      <c r="N83">
        <v>0</v>
      </c>
      <c r="O83">
        <v>0</v>
      </c>
      <c r="P83">
        <v>2</v>
      </c>
      <c r="Q83">
        <v>2</v>
      </c>
      <c r="R83">
        <v>0.32</v>
      </c>
      <c r="S83">
        <v>1.02</v>
      </c>
      <c r="T83">
        <v>0.03</v>
      </c>
      <c r="U83">
        <v>14.64</v>
      </c>
      <c r="V83">
        <v>25</v>
      </c>
      <c r="W83">
        <v>2.7</v>
      </c>
      <c r="X83">
        <v>1.9</v>
      </c>
      <c r="Y83">
        <v>0.16</v>
      </c>
      <c r="Z83">
        <v>340</v>
      </c>
      <c r="AA83">
        <v>6</v>
      </c>
      <c r="AB83">
        <v>30</v>
      </c>
      <c r="AC83">
        <v>4.2</v>
      </c>
      <c r="AD83" s="8">
        <v>12</v>
      </c>
      <c r="AE83">
        <v>85</v>
      </c>
      <c r="AF83">
        <v>1</v>
      </c>
      <c r="AG83">
        <v>3.6</v>
      </c>
      <c r="AH83">
        <v>1.5</v>
      </c>
      <c r="AI83">
        <v>0</v>
      </c>
    </row>
    <row r="84" spans="1:35" x14ac:dyDescent="0.25">
      <c r="A84">
        <v>83</v>
      </c>
      <c r="B84" t="s">
        <v>150</v>
      </c>
      <c r="C84" t="s">
        <v>85</v>
      </c>
      <c r="D84">
        <v>219</v>
      </c>
      <c r="E84">
        <v>1.2</v>
      </c>
      <c r="F84">
        <v>0.6</v>
      </c>
      <c r="G84">
        <v>0.1</v>
      </c>
      <c r="H84">
        <v>0.3</v>
      </c>
      <c r="I84">
        <v>7.3</v>
      </c>
      <c r="J84" s="8">
        <v>7.2</v>
      </c>
      <c r="K84">
        <v>0.1</v>
      </c>
      <c r="L84">
        <v>3</v>
      </c>
      <c r="M84">
        <v>1.5</v>
      </c>
      <c r="N84">
        <v>475</v>
      </c>
      <c r="O84">
        <v>238</v>
      </c>
      <c r="P84">
        <v>2851</v>
      </c>
      <c r="Q84">
        <v>2851</v>
      </c>
      <c r="R84">
        <v>0.08</v>
      </c>
      <c r="S84">
        <v>7.0000000000000007E-2</v>
      </c>
      <c r="T84">
        <v>0.15</v>
      </c>
      <c r="U84">
        <v>0.8</v>
      </c>
      <c r="V84">
        <v>19.5</v>
      </c>
      <c r="W84">
        <v>0</v>
      </c>
      <c r="X84">
        <v>0</v>
      </c>
      <c r="Y84">
        <v>0.8</v>
      </c>
      <c r="Z84">
        <v>130</v>
      </c>
      <c r="AA84">
        <v>9</v>
      </c>
      <c r="AB84">
        <v>32</v>
      </c>
      <c r="AC84">
        <v>310</v>
      </c>
      <c r="AD84" s="8">
        <v>36</v>
      </c>
      <c r="AE84">
        <v>32</v>
      </c>
      <c r="AF84">
        <v>20</v>
      </c>
      <c r="AG84">
        <v>1</v>
      </c>
      <c r="AH84">
        <v>1</v>
      </c>
      <c r="AI84">
        <v>0</v>
      </c>
    </row>
    <row r="85" spans="1:35" x14ac:dyDescent="0.25">
      <c r="A85">
        <v>84</v>
      </c>
      <c r="B85" t="s">
        <v>151</v>
      </c>
      <c r="C85" t="s">
        <v>85</v>
      </c>
      <c r="D85">
        <v>90</v>
      </c>
      <c r="E85">
        <v>0.3</v>
      </c>
      <c r="F85">
        <v>0.1</v>
      </c>
      <c r="G85">
        <v>0</v>
      </c>
      <c r="H85">
        <v>0.1</v>
      </c>
      <c r="I85">
        <v>3.3</v>
      </c>
      <c r="J85" s="8">
        <v>3.2</v>
      </c>
      <c r="K85">
        <v>0</v>
      </c>
      <c r="L85">
        <v>1.2</v>
      </c>
      <c r="M85">
        <v>0.9</v>
      </c>
      <c r="N85">
        <v>78</v>
      </c>
      <c r="O85">
        <v>39</v>
      </c>
      <c r="P85">
        <v>469</v>
      </c>
      <c r="Q85">
        <v>469</v>
      </c>
      <c r="R85">
        <v>0.05</v>
      </c>
      <c r="S85">
        <v>0.02</v>
      </c>
      <c r="T85">
        <v>0.09</v>
      </c>
      <c r="U85">
        <v>0.65</v>
      </c>
      <c r="V85">
        <v>18.100000000000001</v>
      </c>
      <c r="W85">
        <v>0.06</v>
      </c>
      <c r="X85">
        <v>25.5</v>
      </c>
      <c r="Y85">
        <v>0.42</v>
      </c>
      <c r="Z85">
        <v>240</v>
      </c>
      <c r="AA85">
        <v>2.4</v>
      </c>
      <c r="AB85">
        <v>30</v>
      </c>
      <c r="AC85">
        <v>8.3000000000000007</v>
      </c>
      <c r="AD85" s="8">
        <v>8.1999999999999993</v>
      </c>
      <c r="AE85">
        <v>22</v>
      </c>
      <c r="AF85">
        <v>0.1</v>
      </c>
      <c r="AG85">
        <v>0.6</v>
      </c>
      <c r="AH85">
        <v>0.1</v>
      </c>
      <c r="AI85">
        <v>0.1</v>
      </c>
    </row>
    <row r="86" spans="1:35" x14ac:dyDescent="0.25">
      <c r="A86">
        <v>85</v>
      </c>
      <c r="B86" t="s">
        <v>152</v>
      </c>
      <c r="C86" t="s">
        <v>85</v>
      </c>
      <c r="D86">
        <v>221</v>
      </c>
      <c r="E86">
        <v>0.4</v>
      </c>
      <c r="F86">
        <v>0.1</v>
      </c>
      <c r="G86">
        <v>0</v>
      </c>
      <c r="H86">
        <v>0.2</v>
      </c>
      <c r="I86">
        <v>4</v>
      </c>
      <c r="J86" s="8">
        <v>4</v>
      </c>
      <c r="K86">
        <v>0</v>
      </c>
      <c r="L86">
        <v>12.1</v>
      </c>
      <c r="M86">
        <v>2.4</v>
      </c>
      <c r="N86">
        <v>7</v>
      </c>
      <c r="O86">
        <v>4</v>
      </c>
      <c r="P86">
        <v>42</v>
      </c>
      <c r="Q86">
        <v>42</v>
      </c>
      <c r="R86">
        <v>0.1</v>
      </c>
      <c r="S86">
        <v>0.06</v>
      </c>
      <c r="T86">
        <v>0.08</v>
      </c>
      <c r="U86">
        <v>1.3</v>
      </c>
      <c r="V86">
        <v>34</v>
      </c>
      <c r="W86">
        <v>0.44</v>
      </c>
      <c r="X86">
        <v>7.3</v>
      </c>
      <c r="Y86">
        <v>0.15</v>
      </c>
      <c r="Z86">
        <v>530</v>
      </c>
      <c r="AA86">
        <v>1.7</v>
      </c>
      <c r="AB86">
        <v>49</v>
      </c>
      <c r="AC86">
        <v>24</v>
      </c>
      <c r="AD86" s="8">
        <v>16</v>
      </c>
      <c r="AE86">
        <v>68</v>
      </c>
      <c r="AF86">
        <v>0.3</v>
      </c>
      <c r="AG86">
        <v>0.1</v>
      </c>
      <c r="AH86">
        <v>0.2</v>
      </c>
      <c r="AI86">
        <v>0.2</v>
      </c>
    </row>
    <row r="87" spans="1:35" x14ac:dyDescent="0.25">
      <c r="A87">
        <v>86</v>
      </c>
      <c r="B87" t="s">
        <v>153</v>
      </c>
      <c r="C87" t="s">
        <v>84</v>
      </c>
      <c r="D87">
        <v>292</v>
      </c>
      <c r="E87">
        <v>0.3</v>
      </c>
      <c r="F87">
        <v>0.1</v>
      </c>
      <c r="G87">
        <v>0</v>
      </c>
      <c r="H87">
        <v>0.1</v>
      </c>
      <c r="I87">
        <v>15.2</v>
      </c>
      <c r="J87" s="8">
        <v>14.6</v>
      </c>
      <c r="K87">
        <v>0</v>
      </c>
      <c r="L87">
        <v>1.5</v>
      </c>
      <c r="M87">
        <v>0.7</v>
      </c>
      <c r="N87">
        <v>1</v>
      </c>
      <c r="O87">
        <v>1</v>
      </c>
      <c r="P87">
        <v>8</v>
      </c>
      <c r="Q87">
        <v>8</v>
      </c>
      <c r="R87">
        <v>0.05</v>
      </c>
      <c r="S87">
        <v>0.01</v>
      </c>
      <c r="T87">
        <v>0.04</v>
      </c>
      <c r="U87">
        <v>0.12</v>
      </c>
      <c r="V87">
        <v>16.3</v>
      </c>
      <c r="W87">
        <v>0.05</v>
      </c>
      <c r="X87">
        <v>2.9</v>
      </c>
      <c r="Y87">
        <v>0.63</v>
      </c>
      <c r="Z87">
        <v>200</v>
      </c>
      <c r="AA87">
        <v>2</v>
      </c>
      <c r="AB87">
        <v>2</v>
      </c>
      <c r="AC87">
        <v>12</v>
      </c>
      <c r="AD87" s="8">
        <v>7.6</v>
      </c>
      <c r="AE87">
        <v>19</v>
      </c>
      <c r="AF87">
        <v>0.4</v>
      </c>
      <c r="AG87">
        <v>1</v>
      </c>
      <c r="AH87">
        <v>0</v>
      </c>
      <c r="AI87">
        <v>1.7</v>
      </c>
    </row>
    <row r="88" spans="1:35" x14ac:dyDescent="0.25">
      <c r="A88">
        <v>87</v>
      </c>
      <c r="B88" t="s">
        <v>154</v>
      </c>
      <c r="C88" t="s">
        <v>84</v>
      </c>
      <c r="D88">
        <v>158</v>
      </c>
      <c r="E88">
        <v>0</v>
      </c>
      <c r="F88">
        <v>0</v>
      </c>
      <c r="G88">
        <v>0</v>
      </c>
      <c r="H88">
        <v>0</v>
      </c>
      <c r="I88">
        <v>8.3000000000000007</v>
      </c>
      <c r="J88" s="8">
        <v>7.9</v>
      </c>
      <c r="K88">
        <v>0</v>
      </c>
      <c r="L88">
        <v>0.5</v>
      </c>
      <c r="M88">
        <v>0.7</v>
      </c>
      <c r="N88">
        <v>69</v>
      </c>
      <c r="O88">
        <v>35</v>
      </c>
      <c r="P88">
        <v>416</v>
      </c>
      <c r="Q88">
        <v>416</v>
      </c>
      <c r="R88">
        <v>0.03</v>
      </c>
      <c r="S88">
        <v>0.02</v>
      </c>
      <c r="T88">
        <v>0.06</v>
      </c>
      <c r="U88">
        <v>0.26</v>
      </c>
      <c r="V88">
        <v>20.399999999999999</v>
      </c>
      <c r="W88">
        <v>0.18</v>
      </c>
      <c r="X88">
        <v>5.8</v>
      </c>
      <c r="Y88">
        <v>0</v>
      </c>
      <c r="Z88">
        <v>100</v>
      </c>
      <c r="AA88">
        <v>0</v>
      </c>
      <c r="AB88">
        <v>8.3000000000000007</v>
      </c>
      <c r="AC88">
        <v>6</v>
      </c>
      <c r="AD88" s="8">
        <v>11</v>
      </c>
      <c r="AE88">
        <v>9.6999999999999993</v>
      </c>
      <c r="AF88">
        <v>0.2</v>
      </c>
      <c r="AG88">
        <v>10</v>
      </c>
      <c r="AH88">
        <v>0.1</v>
      </c>
      <c r="AI88">
        <v>0.4</v>
      </c>
    </row>
    <row r="89" spans="1:35" x14ac:dyDescent="0.25">
      <c r="A89">
        <v>88</v>
      </c>
      <c r="B89" t="s">
        <v>155</v>
      </c>
      <c r="C89" t="s">
        <v>85</v>
      </c>
      <c r="D89">
        <v>152</v>
      </c>
      <c r="E89">
        <v>0.6</v>
      </c>
      <c r="F89">
        <v>0.3</v>
      </c>
      <c r="G89">
        <v>0.2</v>
      </c>
      <c r="H89">
        <v>0.1</v>
      </c>
      <c r="I89">
        <v>4.5999999999999996</v>
      </c>
      <c r="J89" s="8">
        <v>4.2</v>
      </c>
      <c r="K89">
        <v>0</v>
      </c>
      <c r="L89">
        <v>3.5</v>
      </c>
      <c r="M89">
        <v>1.4</v>
      </c>
      <c r="N89">
        <v>4</v>
      </c>
      <c r="O89">
        <v>2</v>
      </c>
      <c r="P89">
        <v>24</v>
      </c>
      <c r="Q89">
        <v>24</v>
      </c>
      <c r="R89">
        <v>0.05</v>
      </c>
      <c r="S89">
        <v>0.05</v>
      </c>
      <c r="T89">
        <v>0.17</v>
      </c>
      <c r="U89">
        <v>0.2</v>
      </c>
      <c r="V89">
        <v>45.4</v>
      </c>
      <c r="W89">
        <v>0.21</v>
      </c>
      <c r="X89">
        <v>56.3</v>
      </c>
      <c r="Y89">
        <v>1.7</v>
      </c>
      <c r="Z89">
        <v>230</v>
      </c>
      <c r="AA89">
        <v>4.8</v>
      </c>
      <c r="AB89">
        <v>25</v>
      </c>
      <c r="AC89">
        <v>52</v>
      </c>
      <c r="AD89" s="8">
        <v>9.6999999999999993</v>
      </c>
      <c r="AE89">
        <v>29</v>
      </c>
      <c r="AF89">
        <v>0.3</v>
      </c>
      <c r="AG89">
        <v>3</v>
      </c>
      <c r="AH89">
        <v>0.1</v>
      </c>
      <c r="AI89">
        <v>4.4000000000000004</v>
      </c>
    </row>
    <row r="90" spans="1:35" x14ac:dyDescent="0.25">
      <c r="A90">
        <v>89</v>
      </c>
      <c r="B90" t="s">
        <v>156</v>
      </c>
      <c r="C90" t="s">
        <v>85</v>
      </c>
      <c r="D90">
        <v>129</v>
      </c>
      <c r="E90">
        <v>0.3</v>
      </c>
      <c r="F90">
        <v>0</v>
      </c>
      <c r="G90">
        <v>0</v>
      </c>
      <c r="H90">
        <v>0.2</v>
      </c>
      <c r="I90">
        <v>2.9</v>
      </c>
      <c r="J90" s="8">
        <v>2.8</v>
      </c>
      <c r="K90">
        <v>0.1</v>
      </c>
      <c r="L90">
        <v>2.6</v>
      </c>
      <c r="M90">
        <v>2.8</v>
      </c>
      <c r="N90">
        <v>10</v>
      </c>
      <c r="O90">
        <v>5</v>
      </c>
      <c r="P90">
        <v>58</v>
      </c>
      <c r="Q90">
        <v>58</v>
      </c>
      <c r="R90">
        <v>0.09</v>
      </c>
      <c r="S90">
        <v>0.06</v>
      </c>
      <c r="T90">
        <v>0.19</v>
      </c>
      <c r="U90">
        <v>0.33</v>
      </c>
      <c r="V90">
        <v>53.4</v>
      </c>
      <c r="W90">
        <v>0.28999999999999998</v>
      </c>
      <c r="X90">
        <v>64.599999999999994</v>
      </c>
      <c r="Y90">
        <v>2.5</v>
      </c>
      <c r="Z90">
        <v>290</v>
      </c>
      <c r="AA90">
        <v>7.2</v>
      </c>
      <c r="AB90">
        <v>27</v>
      </c>
      <c r="AC90">
        <v>50</v>
      </c>
      <c r="AD90" s="8">
        <v>15</v>
      </c>
      <c r="AE90">
        <v>48</v>
      </c>
      <c r="AF90">
        <v>0.5</v>
      </c>
      <c r="AG90">
        <v>2.6</v>
      </c>
      <c r="AH90">
        <v>0.3</v>
      </c>
      <c r="AI90">
        <v>0.1</v>
      </c>
    </row>
    <row r="91" spans="1:35" x14ac:dyDescent="0.25">
      <c r="A91">
        <v>90</v>
      </c>
      <c r="B91" t="s">
        <v>157</v>
      </c>
      <c r="C91" t="s">
        <v>84</v>
      </c>
      <c r="D91">
        <v>96</v>
      </c>
      <c r="E91">
        <v>0.5</v>
      </c>
      <c r="F91">
        <v>0.1</v>
      </c>
      <c r="G91">
        <v>0</v>
      </c>
      <c r="H91">
        <v>0.1</v>
      </c>
      <c r="I91">
        <v>2.9</v>
      </c>
      <c r="J91" s="8">
        <v>2.5</v>
      </c>
      <c r="K91">
        <v>0</v>
      </c>
      <c r="L91">
        <v>2</v>
      </c>
      <c r="M91">
        <v>0.8</v>
      </c>
      <c r="N91">
        <v>1</v>
      </c>
      <c r="O91">
        <v>1</v>
      </c>
      <c r="P91">
        <v>7</v>
      </c>
      <c r="Q91">
        <v>0</v>
      </c>
      <c r="R91">
        <v>0.05</v>
      </c>
      <c r="S91">
        <v>0.02</v>
      </c>
      <c r="T91">
        <v>0.05</v>
      </c>
      <c r="U91">
        <v>0.2</v>
      </c>
      <c r="V91">
        <v>11.3</v>
      </c>
      <c r="W91">
        <v>0.14000000000000001</v>
      </c>
      <c r="X91">
        <v>54.7</v>
      </c>
      <c r="Y91">
        <v>0.8</v>
      </c>
      <c r="Z91">
        <v>150</v>
      </c>
      <c r="AA91">
        <v>4</v>
      </c>
      <c r="AB91">
        <v>4.5</v>
      </c>
      <c r="AC91">
        <v>25</v>
      </c>
      <c r="AD91" s="8">
        <v>16</v>
      </c>
      <c r="AE91">
        <v>18</v>
      </c>
      <c r="AF91">
        <v>0.5</v>
      </c>
      <c r="AG91">
        <v>1.5</v>
      </c>
      <c r="AH91">
        <v>0.1</v>
      </c>
      <c r="AI91">
        <v>0</v>
      </c>
    </row>
    <row r="92" spans="1:35" x14ac:dyDescent="0.25">
      <c r="A92">
        <v>91</v>
      </c>
      <c r="B92" t="s">
        <v>41</v>
      </c>
      <c r="C92" t="s">
        <v>85</v>
      </c>
      <c r="D92">
        <v>80</v>
      </c>
      <c r="E92">
        <v>0.2</v>
      </c>
      <c r="F92">
        <v>0</v>
      </c>
      <c r="G92">
        <v>0</v>
      </c>
      <c r="H92">
        <v>0.1</v>
      </c>
      <c r="I92">
        <v>2</v>
      </c>
      <c r="J92" s="8">
        <v>1.9</v>
      </c>
      <c r="K92">
        <v>0.1</v>
      </c>
      <c r="L92">
        <v>1</v>
      </c>
      <c r="M92">
        <v>1.8</v>
      </c>
      <c r="N92">
        <v>25</v>
      </c>
      <c r="O92">
        <v>13</v>
      </c>
      <c r="P92">
        <v>152</v>
      </c>
      <c r="Q92">
        <v>152</v>
      </c>
      <c r="R92">
        <v>0.05</v>
      </c>
      <c r="S92">
        <v>0.04</v>
      </c>
      <c r="T92">
        <v>0.08</v>
      </c>
      <c r="U92">
        <v>0.6</v>
      </c>
      <c r="V92">
        <v>35.9</v>
      </c>
      <c r="W92">
        <v>0.2</v>
      </c>
      <c r="X92">
        <v>15.3</v>
      </c>
      <c r="Y92">
        <v>0</v>
      </c>
      <c r="Z92">
        <v>230</v>
      </c>
      <c r="AA92">
        <v>3</v>
      </c>
      <c r="AB92">
        <v>24</v>
      </c>
      <c r="AC92">
        <v>19</v>
      </c>
      <c r="AD92" s="8">
        <v>23</v>
      </c>
      <c r="AE92">
        <v>31</v>
      </c>
      <c r="AF92">
        <v>0.8</v>
      </c>
      <c r="AG92">
        <v>2.2999999999999998</v>
      </c>
      <c r="AH92">
        <v>0.2</v>
      </c>
      <c r="AI92">
        <v>0</v>
      </c>
    </row>
    <row r="93" spans="1:35" x14ac:dyDescent="0.25">
      <c r="A93">
        <v>92</v>
      </c>
      <c r="B93" t="s">
        <v>158</v>
      </c>
      <c r="C93" t="s">
        <v>85</v>
      </c>
      <c r="D93">
        <v>285</v>
      </c>
      <c r="E93">
        <v>0.2</v>
      </c>
      <c r="F93">
        <v>0</v>
      </c>
      <c r="G93">
        <v>0</v>
      </c>
      <c r="H93">
        <v>0.1</v>
      </c>
      <c r="I93">
        <v>10</v>
      </c>
      <c r="J93" s="8">
        <v>5</v>
      </c>
      <c r="K93">
        <v>5</v>
      </c>
      <c r="L93">
        <v>5</v>
      </c>
      <c r="M93">
        <v>4</v>
      </c>
      <c r="N93">
        <v>43</v>
      </c>
      <c r="O93">
        <v>22</v>
      </c>
      <c r="P93">
        <v>259</v>
      </c>
      <c r="Q93">
        <v>259</v>
      </c>
      <c r="R93">
        <v>0.16</v>
      </c>
      <c r="S93">
        <v>0.15</v>
      </c>
      <c r="T93">
        <v>0.13</v>
      </c>
      <c r="U93">
        <v>2.7</v>
      </c>
      <c r="V93">
        <v>21.6</v>
      </c>
      <c r="W93">
        <v>0.41</v>
      </c>
      <c r="X93">
        <v>37.4</v>
      </c>
      <c r="Y93">
        <v>0.5</v>
      </c>
      <c r="Z93">
        <v>300</v>
      </c>
      <c r="AA93">
        <v>4</v>
      </c>
      <c r="AB93">
        <v>30</v>
      </c>
      <c r="AC93">
        <v>20</v>
      </c>
      <c r="AD93" s="8">
        <v>30</v>
      </c>
      <c r="AE93">
        <v>80</v>
      </c>
      <c r="AF93">
        <v>2</v>
      </c>
      <c r="AG93">
        <v>4</v>
      </c>
      <c r="AH93">
        <v>0.3</v>
      </c>
      <c r="AI93">
        <v>0</v>
      </c>
    </row>
    <row r="94" spans="1:35" x14ac:dyDescent="0.25">
      <c r="A94">
        <v>93</v>
      </c>
      <c r="B94" t="s">
        <v>159</v>
      </c>
      <c r="C94" t="s">
        <v>85</v>
      </c>
      <c r="D94">
        <v>67</v>
      </c>
      <c r="E94">
        <v>0.2</v>
      </c>
      <c r="F94">
        <v>0</v>
      </c>
      <c r="G94">
        <v>0</v>
      </c>
      <c r="H94">
        <v>0.1</v>
      </c>
      <c r="I94">
        <v>1.5</v>
      </c>
      <c r="J94" s="8">
        <v>1.5</v>
      </c>
      <c r="K94">
        <v>0</v>
      </c>
      <c r="L94">
        <v>1.6</v>
      </c>
      <c r="M94">
        <v>1.2</v>
      </c>
      <c r="N94">
        <v>35</v>
      </c>
      <c r="O94">
        <v>17</v>
      </c>
      <c r="P94">
        <v>207</v>
      </c>
      <c r="Q94">
        <v>207</v>
      </c>
      <c r="R94">
        <v>0.06</v>
      </c>
      <c r="S94">
        <v>0.08</v>
      </c>
      <c r="T94">
        <v>0.05</v>
      </c>
      <c r="U94">
        <v>0.31</v>
      </c>
      <c r="V94">
        <v>16.2</v>
      </c>
      <c r="W94">
        <v>0.17</v>
      </c>
      <c r="X94">
        <v>6.8</v>
      </c>
      <c r="Y94">
        <v>0.5</v>
      </c>
      <c r="Z94">
        <v>230</v>
      </c>
      <c r="AA94">
        <v>10</v>
      </c>
      <c r="AB94">
        <v>55</v>
      </c>
      <c r="AC94">
        <v>35</v>
      </c>
      <c r="AD94" s="8">
        <v>10</v>
      </c>
      <c r="AE94">
        <v>30</v>
      </c>
      <c r="AF94">
        <v>1</v>
      </c>
      <c r="AG94">
        <v>3.3</v>
      </c>
      <c r="AH94">
        <v>0.2</v>
      </c>
      <c r="AI94">
        <v>0</v>
      </c>
    </row>
    <row r="95" spans="1:35" x14ac:dyDescent="0.25">
      <c r="A95" s="8">
        <v>94</v>
      </c>
      <c r="B95" s="8" t="s">
        <v>15</v>
      </c>
      <c r="C95" t="s">
        <v>84</v>
      </c>
      <c r="D95">
        <v>182</v>
      </c>
      <c r="E95">
        <v>0.1</v>
      </c>
      <c r="F95">
        <v>0</v>
      </c>
      <c r="G95">
        <v>0</v>
      </c>
      <c r="H95">
        <v>0.1</v>
      </c>
      <c r="I95">
        <v>8.8000000000000007</v>
      </c>
      <c r="J95" s="8">
        <v>8.8000000000000007</v>
      </c>
      <c r="K95">
        <v>0</v>
      </c>
      <c r="L95">
        <v>2.2999999999999998</v>
      </c>
      <c r="M95">
        <v>0.6</v>
      </c>
      <c r="N95">
        <v>27</v>
      </c>
      <c r="O95">
        <v>13</v>
      </c>
      <c r="P95">
        <v>159</v>
      </c>
      <c r="Q95">
        <v>146</v>
      </c>
      <c r="R95">
        <v>0.03</v>
      </c>
      <c r="S95">
        <v>0.02</v>
      </c>
      <c r="T95">
        <v>0.03</v>
      </c>
      <c r="U95">
        <v>0.41</v>
      </c>
      <c r="V95">
        <v>3</v>
      </c>
      <c r="W95">
        <v>0.14000000000000001</v>
      </c>
      <c r="X95">
        <v>3.4</v>
      </c>
      <c r="Y95">
        <v>0.61</v>
      </c>
      <c r="Z95">
        <v>240</v>
      </c>
      <c r="AA95">
        <v>2</v>
      </c>
      <c r="AB95">
        <v>1</v>
      </c>
      <c r="AC95">
        <v>13</v>
      </c>
      <c r="AD95" s="8">
        <v>8</v>
      </c>
      <c r="AE95">
        <v>23</v>
      </c>
      <c r="AF95">
        <v>0.4</v>
      </c>
      <c r="AG95">
        <v>0.1</v>
      </c>
      <c r="AH95">
        <v>0.1</v>
      </c>
      <c r="AI95">
        <v>0.6</v>
      </c>
    </row>
    <row r="96" spans="1:35" x14ac:dyDescent="0.25">
      <c r="A96">
        <v>95</v>
      </c>
      <c r="B96" t="s">
        <v>160</v>
      </c>
      <c r="C96" t="s">
        <v>85</v>
      </c>
      <c r="D96">
        <v>163</v>
      </c>
      <c r="E96">
        <v>0.6</v>
      </c>
      <c r="F96">
        <v>0.2</v>
      </c>
      <c r="G96">
        <v>0</v>
      </c>
      <c r="H96">
        <v>0.1</v>
      </c>
      <c r="I96">
        <v>6.3</v>
      </c>
      <c r="J96" s="8">
        <v>4.8</v>
      </c>
      <c r="K96">
        <v>0</v>
      </c>
      <c r="L96">
        <v>1.9</v>
      </c>
      <c r="M96">
        <v>1.1000000000000001</v>
      </c>
      <c r="N96">
        <v>3</v>
      </c>
      <c r="O96">
        <v>1</v>
      </c>
      <c r="P96">
        <v>16</v>
      </c>
      <c r="Q96">
        <v>16</v>
      </c>
      <c r="R96">
        <v>0.04</v>
      </c>
      <c r="S96">
        <v>0.02</v>
      </c>
      <c r="T96">
        <v>0.09</v>
      </c>
      <c r="U96">
        <v>0.2</v>
      </c>
      <c r="V96">
        <v>29.6</v>
      </c>
      <c r="W96">
        <v>0.16</v>
      </c>
      <c r="X96">
        <v>5</v>
      </c>
      <c r="Y96">
        <v>0.06</v>
      </c>
      <c r="Z96">
        <v>140</v>
      </c>
      <c r="AA96">
        <v>7.7</v>
      </c>
      <c r="AB96">
        <v>23</v>
      </c>
      <c r="AC96">
        <v>20</v>
      </c>
      <c r="AD96" s="8">
        <v>8.5</v>
      </c>
      <c r="AE96">
        <v>30</v>
      </c>
      <c r="AF96">
        <v>0.2</v>
      </c>
      <c r="AG96">
        <v>1.8</v>
      </c>
      <c r="AH96">
        <v>0.2</v>
      </c>
      <c r="AI96">
        <v>0.6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E35" sqref="E35"/>
    </sheetView>
  </sheetViews>
  <sheetFormatPr baseColWidth="10" defaultRowHeight="15" x14ac:dyDescent="0.25"/>
  <cols>
    <col min="1" max="1" width="22.28515625" customWidth="1"/>
    <col min="2" max="2" width="15.140625" customWidth="1"/>
    <col min="3" max="3" width="17.85546875" customWidth="1"/>
    <col min="4" max="4" width="22.42578125" customWidth="1"/>
    <col min="5" max="5" width="28" customWidth="1"/>
  </cols>
  <sheetData>
    <row r="1" spans="1:5" ht="23.25" x14ac:dyDescent="0.35">
      <c r="A1" s="15" t="s">
        <v>34</v>
      </c>
      <c r="B1" s="15"/>
      <c r="C1" s="15"/>
      <c r="D1" s="15"/>
      <c r="E1" s="2"/>
    </row>
    <row r="2" spans="1:5" x14ac:dyDescent="0.25">
      <c r="A2" s="2" t="s">
        <v>33</v>
      </c>
      <c r="B2" s="2"/>
      <c r="C2" s="2"/>
      <c r="D2" s="2"/>
      <c r="E2" s="2"/>
    </row>
    <row r="3" spans="1:5" x14ac:dyDescent="0.25">
      <c r="A3" s="2" t="s">
        <v>161</v>
      </c>
      <c r="B3" s="2"/>
      <c r="C3" s="2"/>
      <c r="D3" s="2"/>
      <c r="E3" s="2"/>
    </row>
    <row r="5" spans="1:5" x14ac:dyDescent="0.25">
      <c r="A5" t="s">
        <v>29</v>
      </c>
      <c r="B5" t="s">
        <v>28</v>
      </c>
      <c r="C5" t="s">
        <v>30</v>
      </c>
      <c r="D5" t="s">
        <v>31</v>
      </c>
      <c r="E5" t="s">
        <v>32</v>
      </c>
    </row>
    <row r="6" spans="1:5" x14ac:dyDescent="0.25">
      <c r="A6" t="s">
        <v>5</v>
      </c>
      <c r="B6" t="s">
        <v>20</v>
      </c>
      <c r="C6">
        <v>1</v>
      </c>
      <c r="D6">
        <v>10.5</v>
      </c>
      <c r="E6">
        <v>11</v>
      </c>
    </row>
    <row r="7" spans="1:5" x14ac:dyDescent="0.25">
      <c r="A7" t="s">
        <v>37</v>
      </c>
      <c r="B7" t="s">
        <v>20</v>
      </c>
      <c r="C7">
        <v>1</v>
      </c>
      <c r="D7">
        <v>8.6</v>
      </c>
      <c r="E7">
        <v>9.3000000000000007</v>
      </c>
    </row>
    <row r="8" spans="1:5" x14ac:dyDescent="0.25">
      <c r="A8" t="s">
        <v>36</v>
      </c>
      <c r="B8" t="s">
        <v>20</v>
      </c>
      <c r="C8">
        <v>1</v>
      </c>
      <c r="D8">
        <v>12</v>
      </c>
      <c r="E8">
        <v>9</v>
      </c>
    </row>
    <row r="9" spans="1:5" x14ac:dyDescent="0.25">
      <c r="A9" t="s">
        <v>38</v>
      </c>
      <c r="B9" t="s">
        <v>20</v>
      </c>
      <c r="C9">
        <v>1</v>
      </c>
      <c r="D9">
        <v>13.3</v>
      </c>
      <c r="E9">
        <v>12</v>
      </c>
    </row>
    <row r="10" spans="1:5" x14ac:dyDescent="0.25">
      <c r="A10" t="s">
        <v>12</v>
      </c>
      <c r="B10" t="s">
        <v>20</v>
      </c>
      <c r="C10">
        <v>1</v>
      </c>
      <c r="D10">
        <v>8.9</v>
      </c>
      <c r="E10">
        <v>13</v>
      </c>
    </row>
    <row r="11" spans="1:5" x14ac:dyDescent="0.25">
      <c r="A11" t="s">
        <v>40</v>
      </c>
      <c r="B11" t="s">
        <v>20</v>
      </c>
      <c r="C11">
        <v>1</v>
      </c>
      <c r="D11">
        <v>14.6</v>
      </c>
      <c r="E11">
        <v>7.6</v>
      </c>
    </row>
    <row r="12" spans="1:5" x14ac:dyDescent="0.25">
      <c r="A12" t="s">
        <v>13</v>
      </c>
      <c r="B12" t="s">
        <v>20</v>
      </c>
      <c r="C12">
        <v>1</v>
      </c>
      <c r="D12">
        <v>7.3</v>
      </c>
      <c r="E12">
        <v>8.1999999999999993</v>
      </c>
    </row>
    <row r="13" spans="1:5" x14ac:dyDescent="0.25">
      <c r="A13" t="s">
        <v>14</v>
      </c>
      <c r="B13" t="s">
        <v>20</v>
      </c>
      <c r="C13">
        <v>1</v>
      </c>
      <c r="D13">
        <v>7.1</v>
      </c>
      <c r="E13">
        <v>8</v>
      </c>
    </row>
    <row r="14" spans="1:5" x14ac:dyDescent="0.25">
      <c r="A14" t="s">
        <v>15</v>
      </c>
      <c r="B14" t="s">
        <v>20</v>
      </c>
      <c r="C14">
        <v>1</v>
      </c>
      <c r="D14">
        <v>8.8000000000000007</v>
      </c>
      <c r="E14">
        <v>8</v>
      </c>
    </row>
    <row r="15" spans="1:5" x14ac:dyDescent="0.25">
      <c r="A15" t="s">
        <v>26</v>
      </c>
      <c r="B15" t="s">
        <v>20</v>
      </c>
      <c r="C15">
        <v>1</v>
      </c>
      <c r="D15">
        <v>10</v>
      </c>
      <c r="E15">
        <v>5</v>
      </c>
    </row>
    <row r="16" spans="1:5" x14ac:dyDescent="0.25">
      <c r="A16" t="s">
        <v>27</v>
      </c>
      <c r="B16" t="s">
        <v>20</v>
      </c>
      <c r="C16">
        <v>1</v>
      </c>
      <c r="D16">
        <v>11.5</v>
      </c>
      <c r="E16">
        <v>6.5</v>
      </c>
    </row>
    <row r="19" spans="1:5" x14ac:dyDescent="0.25">
      <c r="A19" t="s">
        <v>29</v>
      </c>
      <c r="B19" t="s">
        <v>28</v>
      </c>
      <c r="C19" t="s">
        <v>30</v>
      </c>
      <c r="D19" t="s">
        <v>31</v>
      </c>
      <c r="E19" t="s">
        <v>32</v>
      </c>
    </row>
    <row r="20" spans="1:5" x14ac:dyDescent="0.25">
      <c r="A20" t="s">
        <v>39</v>
      </c>
      <c r="B20" t="s">
        <v>21</v>
      </c>
      <c r="C20">
        <v>0</v>
      </c>
      <c r="D20">
        <v>0.5</v>
      </c>
      <c r="E20">
        <v>81</v>
      </c>
    </row>
    <row r="21" spans="1:5" x14ac:dyDescent="0.25">
      <c r="A21" t="s">
        <v>35</v>
      </c>
      <c r="B21" t="s">
        <v>21</v>
      </c>
      <c r="C21">
        <v>0</v>
      </c>
      <c r="D21">
        <v>1.9</v>
      </c>
      <c r="E21">
        <v>40</v>
      </c>
    </row>
    <row r="22" spans="1:5" x14ac:dyDescent="0.25">
      <c r="A22" t="s">
        <v>16</v>
      </c>
      <c r="B22" t="s">
        <v>21</v>
      </c>
      <c r="C22">
        <v>0</v>
      </c>
      <c r="D22">
        <v>1.3</v>
      </c>
      <c r="E22">
        <v>11</v>
      </c>
    </row>
    <row r="23" spans="1:5" x14ac:dyDescent="0.25">
      <c r="A23" t="s">
        <v>17</v>
      </c>
      <c r="B23" t="s">
        <v>21</v>
      </c>
      <c r="C23">
        <v>0</v>
      </c>
      <c r="D23">
        <v>3.5</v>
      </c>
      <c r="E23">
        <v>8.8000000000000007</v>
      </c>
    </row>
    <row r="24" spans="1:5" x14ac:dyDescent="0.25">
      <c r="A24" t="s">
        <v>18</v>
      </c>
      <c r="B24" t="s">
        <v>21</v>
      </c>
      <c r="C24">
        <v>0</v>
      </c>
      <c r="D24">
        <v>5.0999999999999996</v>
      </c>
      <c r="E24">
        <v>12</v>
      </c>
    </row>
    <row r="25" spans="1:5" x14ac:dyDescent="0.25">
      <c r="A25" t="s">
        <v>25</v>
      </c>
      <c r="B25" t="s">
        <v>21</v>
      </c>
      <c r="C25">
        <v>0</v>
      </c>
      <c r="D25">
        <v>2.5</v>
      </c>
      <c r="E25">
        <v>38</v>
      </c>
    </row>
    <row r="26" spans="1:5" x14ac:dyDescent="0.25">
      <c r="A26" t="s">
        <v>19</v>
      </c>
      <c r="B26" t="s">
        <v>21</v>
      </c>
      <c r="C26">
        <v>0</v>
      </c>
      <c r="D26">
        <v>2</v>
      </c>
      <c r="E26">
        <v>24</v>
      </c>
    </row>
    <row r="27" spans="1:5" x14ac:dyDescent="0.25">
      <c r="A27" t="s">
        <v>24</v>
      </c>
      <c r="B27" t="s">
        <v>21</v>
      </c>
      <c r="C27">
        <v>0</v>
      </c>
      <c r="D27">
        <v>5.5</v>
      </c>
      <c r="E27">
        <v>34</v>
      </c>
    </row>
    <row r="28" spans="1:5" x14ac:dyDescent="0.25">
      <c r="A28" t="s">
        <v>41</v>
      </c>
      <c r="B28" t="s">
        <v>21</v>
      </c>
      <c r="C28">
        <v>0</v>
      </c>
      <c r="D28">
        <v>1.9</v>
      </c>
      <c r="E28">
        <v>23</v>
      </c>
    </row>
    <row r="29" spans="1:5" x14ac:dyDescent="0.25">
      <c r="A29" t="s">
        <v>22</v>
      </c>
      <c r="B29" t="s">
        <v>21</v>
      </c>
      <c r="C29">
        <v>0</v>
      </c>
      <c r="D29">
        <v>2.4</v>
      </c>
      <c r="E29">
        <v>14</v>
      </c>
    </row>
    <row r="30" spans="1:5" x14ac:dyDescent="0.25">
      <c r="A30" t="s">
        <v>23</v>
      </c>
      <c r="B30" t="s">
        <v>21</v>
      </c>
      <c r="C30">
        <v>0</v>
      </c>
      <c r="D30">
        <v>0.1</v>
      </c>
      <c r="E30">
        <v>12</v>
      </c>
    </row>
  </sheetData>
  <mergeCells count="1">
    <mergeCell ref="A1:D1"/>
  </mergeCells>
  <pageMargins left="0.7" right="0.7" top="0.78740157499999996" bottom="0.78740157499999996" header="0.3" footer="0.3"/>
  <pageSetup paperSize="9" orientation="portrait" horizontalDpi="0" verticalDpi="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workbookViewId="0">
      <selection activeCell="T16" sqref="T16"/>
    </sheetView>
  </sheetViews>
  <sheetFormatPr baseColWidth="10" defaultColWidth="9.140625" defaultRowHeight="15" x14ac:dyDescent="0.25"/>
  <cols>
    <col min="2" max="2" width="18.140625" customWidth="1"/>
    <col min="5" max="5" width="16.42578125" customWidth="1"/>
    <col min="6" max="6" width="8.85546875" customWidth="1"/>
    <col min="7" max="8" width="12.5703125" customWidth="1"/>
    <col min="11" max="11" width="12.42578125" customWidth="1"/>
  </cols>
  <sheetData>
    <row r="1" spans="1:14" ht="15.75" thickBot="1" x14ac:dyDescent="0.3">
      <c r="A1" s="12" t="s">
        <v>87</v>
      </c>
      <c r="B1" s="12" t="s">
        <v>4</v>
      </c>
      <c r="C1" s="12" t="s">
        <v>6</v>
      </c>
      <c r="D1" s="12" t="s">
        <v>7</v>
      </c>
      <c r="E1" s="12" t="s">
        <v>30</v>
      </c>
      <c r="F1" s="12" t="s">
        <v>10</v>
      </c>
      <c r="G1" s="12" t="s">
        <v>8</v>
      </c>
      <c r="H1" s="12" t="s">
        <v>9</v>
      </c>
      <c r="I1" s="12" t="s">
        <v>0</v>
      </c>
      <c r="J1" s="12" t="s">
        <v>1</v>
      </c>
      <c r="K1" s="12" t="s">
        <v>2</v>
      </c>
      <c r="L1" s="12" t="s">
        <v>3</v>
      </c>
    </row>
    <row r="2" spans="1:14" ht="15.75" thickBot="1" x14ac:dyDescent="0.3">
      <c r="A2" s="13">
        <v>0</v>
      </c>
      <c r="B2" s="13" t="s">
        <v>88</v>
      </c>
      <c r="C2" s="13">
        <v>0</v>
      </c>
      <c r="D2" s="13">
        <v>0</v>
      </c>
      <c r="E2" s="13">
        <v>1</v>
      </c>
      <c r="F2" s="13">
        <f>$N$2</f>
        <v>0.1</v>
      </c>
      <c r="G2" s="13">
        <v>0</v>
      </c>
      <c r="H2" s="13">
        <v>0</v>
      </c>
      <c r="I2" s="13">
        <v>0</v>
      </c>
      <c r="J2" s="13">
        <f t="shared" ref="J2:J65" si="0">C2*G2+D2*H2+I2</f>
        <v>0</v>
      </c>
      <c r="K2" s="13">
        <f t="shared" ref="K2:K65" si="1">IF(J2&gt;0,1,0)</f>
        <v>0</v>
      </c>
      <c r="L2" s="13">
        <f t="shared" ref="L2:L65" si="2">E2-K2</f>
        <v>1</v>
      </c>
      <c r="M2" s="4" t="s">
        <v>10</v>
      </c>
      <c r="N2" s="5">
        <v>0.1</v>
      </c>
    </row>
    <row r="3" spans="1:14" x14ac:dyDescent="0.25">
      <c r="A3" s="13">
        <v>1</v>
      </c>
      <c r="B3" s="13" t="s">
        <v>89</v>
      </c>
      <c r="C3" s="13">
        <v>-1</v>
      </c>
      <c r="D3" s="13">
        <v>1</v>
      </c>
      <c r="E3" s="13">
        <v>0</v>
      </c>
      <c r="F3" s="13">
        <f t="shared" ref="F3:F66" si="3">$N$2</f>
        <v>0.1</v>
      </c>
      <c r="G3" s="13">
        <f>G2+F3*L2*C3</f>
        <v>-0.1</v>
      </c>
      <c r="H3" s="13">
        <f>H2+F3*L2*D3</f>
        <v>0.1</v>
      </c>
      <c r="I3" s="13">
        <f>I2+F3*L2</f>
        <v>0.1</v>
      </c>
      <c r="J3" s="13">
        <f t="shared" si="0"/>
        <v>0.30000000000000004</v>
      </c>
      <c r="K3" s="13">
        <f t="shared" si="1"/>
        <v>1</v>
      </c>
      <c r="L3" s="13">
        <f>E3-K3</f>
        <v>-1</v>
      </c>
    </row>
    <row r="4" spans="1:14" x14ac:dyDescent="0.25">
      <c r="A4" s="9">
        <v>2</v>
      </c>
      <c r="B4" s="9" t="s">
        <v>5</v>
      </c>
      <c r="C4" s="9">
        <v>10.5</v>
      </c>
      <c r="D4" s="9">
        <v>11</v>
      </c>
      <c r="E4" s="9">
        <v>1</v>
      </c>
      <c r="F4" s="9">
        <f t="shared" si="3"/>
        <v>0.1</v>
      </c>
      <c r="G4" s="9">
        <f>G3+F4*L3*C4</f>
        <v>-1.1500000000000001</v>
      </c>
      <c r="H4" s="9">
        <f>H3+F4*L3*D4</f>
        <v>-1</v>
      </c>
      <c r="I4" s="9">
        <f>I3+F4*L3</f>
        <v>0</v>
      </c>
      <c r="J4" s="9">
        <f t="shared" si="0"/>
        <v>-23.075000000000003</v>
      </c>
      <c r="K4" s="9">
        <f t="shared" si="1"/>
        <v>0</v>
      </c>
      <c r="L4" s="9">
        <f>E4-K4</f>
        <v>1</v>
      </c>
    </row>
    <row r="5" spans="1:14" x14ac:dyDescent="0.25">
      <c r="A5" s="9">
        <v>3</v>
      </c>
      <c r="B5" s="9" t="s">
        <v>37</v>
      </c>
      <c r="C5" s="9">
        <v>8.6</v>
      </c>
      <c r="D5" s="9">
        <v>9.3000000000000007</v>
      </c>
      <c r="E5" s="9">
        <v>1</v>
      </c>
      <c r="F5" s="9">
        <f t="shared" si="3"/>
        <v>0.1</v>
      </c>
      <c r="G5" s="9">
        <f>G4+F5*L4*C5</f>
        <v>-0.29000000000000015</v>
      </c>
      <c r="H5" s="9">
        <f>H4+F5*L4*D5</f>
        <v>-6.999999999999984E-2</v>
      </c>
      <c r="I5" s="9">
        <f>I4+F5*L4</f>
        <v>0.1</v>
      </c>
      <c r="J5" s="9">
        <f t="shared" si="0"/>
        <v>-3.0449999999999995</v>
      </c>
      <c r="K5" s="9">
        <f t="shared" si="1"/>
        <v>0</v>
      </c>
      <c r="L5" s="9">
        <f t="shared" si="2"/>
        <v>1</v>
      </c>
    </row>
    <row r="6" spans="1:14" x14ac:dyDescent="0.25">
      <c r="A6" s="9">
        <v>4</v>
      </c>
      <c r="B6" s="9" t="s">
        <v>36</v>
      </c>
      <c r="C6" s="9">
        <v>12</v>
      </c>
      <c r="D6" s="9">
        <v>9</v>
      </c>
      <c r="E6" s="9">
        <v>1</v>
      </c>
      <c r="F6" s="9">
        <f t="shared" si="3"/>
        <v>0.1</v>
      </c>
      <c r="G6" s="9">
        <f t="shared" ref="G6:G69" si="4">G5+F6*L5*C6</f>
        <v>0.91</v>
      </c>
      <c r="H6" s="9">
        <f t="shared" ref="H6:H69" si="5">H5+F6*L5*D6</f>
        <v>0.83000000000000018</v>
      </c>
      <c r="I6" s="9">
        <f t="shared" ref="I6:I69" si="6">I5+F6*L5</f>
        <v>0.2</v>
      </c>
      <c r="J6" s="9">
        <f t="shared" si="0"/>
        <v>18.59</v>
      </c>
      <c r="K6" s="9">
        <f t="shared" si="1"/>
        <v>1</v>
      </c>
      <c r="L6" s="9">
        <f t="shared" si="2"/>
        <v>0</v>
      </c>
    </row>
    <row r="7" spans="1:14" x14ac:dyDescent="0.25">
      <c r="A7" s="9">
        <v>5</v>
      </c>
      <c r="B7" s="9" t="s">
        <v>38</v>
      </c>
      <c r="C7" s="9">
        <v>13.3</v>
      </c>
      <c r="D7" s="9">
        <v>12</v>
      </c>
      <c r="E7" s="9">
        <v>1</v>
      </c>
      <c r="F7" s="9">
        <f t="shared" si="3"/>
        <v>0.1</v>
      </c>
      <c r="G7" s="9">
        <f t="shared" si="4"/>
        <v>0.91</v>
      </c>
      <c r="H7" s="9">
        <f t="shared" si="5"/>
        <v>0.83000000000000018</v>
      </c>
      <c r="I7" s="9">
        <f t="shared" si="6"/>
        <v>0.2</v>
      </c>
      <c r="J7" s="9">
        <f t="shared" si="0"/>
        <v>22.263000000000002</v>
      </c>
      <c r="K7" s="9">
        <f t="shared" si="1"/>
        <v>1</v>
      </c>
      <c r="L7" s="9">
        <f t="shared" si="2"/>
        <v>0</v>
      </c>
    </row>
    <row r="8" spans="1:14" x14ac:dyDescent="0.25">
      <c r="A8" s="9">
        <v>6</v>
      </c>
      <c r="B8" s="9" t="s">
        <v>12</v>
      </c>
      <c r="C8" s="9">
        <v>8.9</v>
      </c>
      <c r="D8" s="9">
        <v>13</v>
      </c>
      <c r="E8" s="9">
        <v>1</v>
      </c>
      <c r="F8" s="9">
        <f t="shared" si="3"/>
        <v>0.1</v>
      </c>
      <c r="G8" s="9">
        <f t="shared" si="4"/>
        <v>0.91</v>
      </c>
      <c r="H8" s="9">
        <f t="shared" si="5"/>
        <v>0.83000000000000018</v>
      </c>
      <c r="I8" s="9">
        <f t="shared" si="6"/>
        <v>0.2</v>
      </c>
      <c r="J8" s="9">
        <f t="shared" si="0"/>
        <v>19.089000000000002</v>
      </c>
      <c r="K8" s="9">
        <f t="shared" si="1"/>
        <v>1</v>
      </c>
      <c r="L8" s="9">
        <f t="shared" si="2"/>
        <v>0</v>
      </c>
    </row>
    <row r="9" spans="1:14" x14ac:dyDescent="0.25">
      <c r="A9" s="9">
        <v>7</v>
      </c>
      <c r="B9" s="9" t="s">
        <v>40</v>
      </c>
      <c r="C9" s="9">
        <v>14.6</v>
      </c>
      <c r="D9" s="9">
        <v>7.6</v>
      </c>
      <c r="E9" s="9">
        <v>1</v>
      </c>
      <c r="F9" s="9">
        <f t="shared" si="3"/>
        <v>0.1</v>
      </c>
      <c r="G9" s="9">
        <f t="shared" si="4"/>
        <v>0.91</v>
      </c>
      <c r="H9" s="9">
        <f t="shared" si="5"/>
        <v>0.83000000000000018</v>
      </c>
      <c r="I9" s="9">
        <f t="shared" si="6"/>
        <v>0.2</v>
      </c>
      <c r="J9" s="9">
        <f t="shared" si="0"/>
        <v>19.794</v>
      </c>
      <c r="K9" s="9">
        <f t="shared" si="1"/>
        <v>1</v>
      </c>
      <c r="L9" s="9">
        <f t="shared" si="2"/>
        <v>0</v>
      </c>
    </row>
    <row r="10" spans="1:14" x14ac:dyDescent="0.25">
      <c r="A10" s="9">
        <v>8</v>
      </c>
      <c r="B10" s="9" t="s">
        <v>13</v>
      </c>
      <c r="C10" s="9">
        <v>7.3</v>
      </c>
      <c r="D10" s="9">
        <v>8.1999999999999993</v>
      </c>
      <c r="E10" s="9">
        <v>1</v>
      </c>
      <c r="F10" s="9">
        <f t="shared" si="3"/>
        <v>0.1</v>
      </c>
      <c r="G10" s="9">
        <f t="shared" si="4"/>
        <v>0.91</v>
      </c>
      <c r="H10" s="9">
        <f t="shared" si="5"/>
        <v>0.83000000000000018</v>
      </c>
      <c r="I10" s="9">
        <f t="shared" si="6"/>
        <v>0.2</v>
      </c>
      <c r="J10" s="9">
        <f t="shared" si="0"/>
        <v>13.649000000000001</v>
      </c>
      <c r="K10" s="9">
        <f t="shared" si="1"/>
        <v>1</v>
      </c>
      <c r="L10" s="9">
        <f t="shared" si="2"/>
        <v>0</v>
      </c>
    </row>
    <row r="11" spans="1:14" x14ac:dyDescent="0.25">
      <c r="A11" s="9">
        <v>9</v>
      </c>
      <c r="B11" s="9" t="s">
        <v>14</v>
      </c>
      <c r="C11" s="9">
        <v>7.1</v>
      </c>
      <c r="D11" s="9">
        <v>8</v>
      </c>
      <c r="E11" s="9">
        <v>1</v>
      </c>
      <c r="F11" s="9">
        <f t="shared" si="3"/>
        <v>0.1</v>
      </c>
      <c r="G11" s="9">
        <f t="shared" si="4"/>
        <v>0.91</v>
      </c>
      <c r="H11" s="9">
        <f t="shared" si="5"/>
        <v>0.83000000000000018</v>
      </c>
      <c r="I11" s="9">
        <f t="shared" si="6"/>
        <v>0.2</v>
      </c>
      <c r="J11" s="9">
        <f t="shared" si="0"/>
        <v>13.301000000000002</v>
      </c>
      <c r="K11" s="9">
        <f t="shared" si="1"/>
        <v>1</v>
      </c>
      <c r="L11" s="9">
        <f t="shared" si="2"/>
        <v>0</v>
      </c>
    </row>
    <row r="12" spans="1:14" x14ac:dyDescent="0.25">
      <c r="A12" s="9">
        <v>10</v>
      </c>
      <c r="B12" s="9" t="s">
        <v>15</v>
      </c>
      <c r="C12" s="9">
        <v>8.8000000000000007</v>
      </c>
      <c r="D12" s="9">
        <v>8</v>
      </c>
      <c r="E12" s="9">
        <v>1</v>
      </c>
      <c r="F12" s="9">
        <f t="shared" si="3"/>
        <v>0.1</v>
      </c>
      <c r="G12" s="9">
        <f t="shared" si="4"/>
        <v>0.91</v>
      </c>
      <c r="H12" s="9">
        <f t="shared" si="5"/>
        <v>0.83000000000000018</v>
      </c>
      <c r="I12" s="9">
        <f t="shared" si="6"/>
        <v>0.2</v>
      </c>
      <c r="J12" s="9">
        <f t="shared" si="0"/>
        <v>14.848000000000003</v>
      </c>
      <c r="K12" s="9">
        <f t="shared" si="1"/>
        <v>1</v>
      </c>
      <c r="L12" s="9">
        <f t="shared" si="2"/>
        <v>0</v>
      </c>
    </row>
    <row r="13" spans="1:14" x14ac:dyDescent="0.25">
      <c r="A13" s="9">
        <v>11</v>
      </c>
      <c r="B13" s="9" t="s">
        <v>26</v>
      </c>
      <c r="C13" s="9">
        <v>10</v>
      </c>
      <c r="D13" s="9">
        <v>5</v>
      </c>
      <c r="E13" s="9">
        <v>1</v>
      </c>
      <c r="F13" s="9">
        <f t="shared" si="3"/>
        <v>0.1</v>
      </c>
      <c r="G13" s="9">
        <f t="shared" si="4"/>
        <v>0.91</v>
      </c>
      <c r="H13" s="9">
        <f t="shared" si="5"/>
        <v>0.83000000000000018</v>
      </c>
      <c r="I13" s="9">
        <f t="shared" si="6"/>
        <v>0.2</v>
      </c>
      <c r="J13" s="9">
        <f t="shared" si="0"/>
        <v>13.45</v>
      </c>
      <c r="K13" s="9">
        <f t="shared" si="1"/>
        <v>1</v>
      </c>
      <c r="L13" s="9">
        <f t="shared" si="2"/>
        <v>0</v>
      </c>
    </row>
    <row r="14" spans="1:14" x14ac:dyDescent="0.25">
      <c r="A14" s="9">
        <v>12</v>
      </c>
      <c r="B14" s="9" t="s">
        <v>27</v>
      </c>
      <c r="C14" s="9">
        <v>11.5</v>
      </c>
      <c r="D14" s="9">
        <v>6.5</v>
      </c>
      <c r="E14" s="9">
        <v>1</v>
      </c>
      <c r="F14" s="9">
        <f t="shared" si="3"/>
        <v>0.1</v>
      </c>
      <c r="G14" s="9">
        <f t="shared" si="4"/>
        <v>0.91</v>
      </c>
      <c r="H14" s="9">
        <f t="shared" si="5"/>
        <v>0.83000000000000018</v>
      </c>
      <c r="I14" s="9">
        <f t="shared" si="6"/>
        <v>0.2</v>
      </c>
      <c r="J14" s="9">
        <f t="shared" si="0"/>
        <v>16.060000000000002</v>
      </c>
      <c r="K14" s="9">
        <f t="shared" si="1"/>
        <v>1</v>
      </c>
      <c r="L14" s="9">
        <f t="shared" si="2"/>
        <v>0</v>
      </c>
    </row>
    <row r="15" spans="1:14" x14ac:dyDescent="0.25">
      <c r="A15" s="9">
        <v>13</v>
      </c>
      <c r="B15" s="9" t="s">
        <v>39</v>
      </c>
      <c r="C15" s="9">
        <v>0.5</v>
      </c>
      <c r="D15" s="9">
        <v>81</v>
      </c>
      <c r="E15" s="9">
        <v>0</v>
      </c>
      <c r="F15" s="9">
        <f t="shared" si="3"/>
        <v>0.1</v>
      </c>
      <c r="G15" s="9">
        <f t="shared" si="4"/>
        <v>0.91</v>
      </c>
      <c r="H15" s="9">
        <f t="shared" si="5"/>
        <v>0.83000000000000018</v>
      </c>
      <c r="I15" s="9">
        <f t="shared" si="6"/>
        <v>0.2</v>
      </c>
      <c r="J15" s="9">
        <f t="shared" si="0"/>
        <v>67.885000000000019</v>
      </c>
      <c r="K15" s="9">
        <f t="shared" si="1"/>
        <v>1</v>
      </c>
      <c r="L15" s="9">
        <f t="shared" si="2"/>
        <v>-1</v>
      </c>
    </row>
    <row r="16" spans="1:14" x14ac:dyDescent="0.25">
      <c r="A16" s="9">
        <v>14</v>
      </c>
      <c r="B16" s="9" t="s">
        <v>35</v>
      </c>
      <c r="C16" s="9">
        <v>1.9</v>
      </c>
      <c r="D16" s="9">
        <v>40</v>
      </c>
      <c r="E16" s="9">
        <v>0</v>
      </c>
      <c r="F16" s="9">
        <f t="shared" si="3"/>
        <v>0.1</v>
      </c>
      <c r="G16" s="9">
        <f t="shared" si="4"/>
        <v>0.72</v>
      </c>
      <c r="H16" s="9">
        <f t="shared" si="5"/>
        <v>-3.17</v>
      </c>
      <c r="I16" s="9">
        <f t="shared" si="6"/>
        <v>0.1</v>
      </c>
      <c r="J16" s="9">
        <f t="shared" si="0"/>
        <v>-125.33200000000001</v>
      </c>
      <c r="K16" s="9">
        <f t="shared" si="1"/>
        <v>0</v>
      </c>
      <c r="L16" s="9">
        <f t="shared" si="2"/>
        <v>0</v>
      </c>
    </row>
    <row r="17" spans="1:15" x14ac:dyDescent="0.25">
      <c r="A17" s="9">
        <v>15</v>
      </c>
      <c r="B17" s="9" t="s">
        <v>16</v>
      </c>
      <c r="C17" s="9">
        <v>1.3</v>
      </c>
      <c r="D17" s="9">
        <v>11</v>
      </c>
      <c r="E17" s="9">
        <v>0</v>
      </c>
      <c r="F17" s="9">
        <f t="shared" si="3"/>
        <v>0.1</v>
      </c>
      <c r="G17" s="9">
        <f t="shared" si="4"/>
        <v>0.72</v>
      </c>
      <c r="H17" s="9">
        <f t="shared" si="5"/>
        <v>-3.17</v>
      </c>
      <c r="I17" s="9">
        <f t="shared" si="6"/>
        <v>0.1</v>
      </c>
      <c r="J17" s="9">
        <f t="shared" si="0"/>
        <v>-33.833999999999996</v>
      </c>
      <c r="K17" s="9">
        <f t="shared" si="1"/>
        <v>0</v>
      </c>
      <c r="L17" s="9">
        <f t="shared" si="2"/>
        <v>0</v>
      </c>
    </row>
    <row r="18" spans="1:15" x14ac:dyDescent="0.25">
      <c r="A18" s="9">
        <v>16</v>
      </c>
      <c r="B18" s="9" t="s">
        <v>17</v>
      </c>
      <c r="C18" s="9">
        <v>3.5</v>
      </c>
      <c r="D18" s="9">
        <v>8.8000000000000007</v>
      </c>
      <c r="E18" s="9">
        <v>0</v>
      </c>
      <c r="F18" s="9">
        <f t="shared" si="3"/>
        <v>0.1</v>
      </c>
      <c r="G18" s="9">
        <f t="shared" si="4"/>
        <v>0.72</v>
      </c>
      <c r="H18" s="9">
        <f t="shared" si="5"/>
        <v>-3.17</v>
      </c>
      <c r="I18" s="9">
        <f t="shared" si="6"/>
        <v>0.1</v>
      </c>
      <c r="J18" s="9">
        <f t="shared" si="0"/>
        <v>-25.276</v>
      </c>
      <c r="K18" s="9">
        <f t="shared" si="1"/>
        <v>0</v>
      </c>
      <c r="L18" s="9">
        <f t="shared" si="2"/>
        <v>0</v>
      </c>
    </row>
    <row r="19" spans="1:15" x14ac:dyDescent="0.25">
      <c r="A19" s="9">
        <v>17</v>
      </c>
      <c r="B19" s="9" t="s">
        <v>18</v>
      </c>
      <c r="C19" s="9">
        <v>5.0999999999999996</v>
      </c>
      <c r="D19" s="9">
        <v>12</v>
      </c>
      <c r="E19" s="9">
        <v>0</v>
      </c>
      <c r="F19" s="9">
        <f t="shared" si="3"/>
        <v>0.1</v>
      </c>
      <c r="G19" s="9">
        <f t="shared" si="4"/>
        <v>0.72</v>
      </c>
      <c r="H19" s="9">
        <f t="shared" si="5"/>
        <v>-3.17</v>
      </c>
      <c r="I19" s="9">
        <f t="shared" si="6"/>
        <v>0.1</v>
      </c>
      <c r="J19" s="9">
        <f t="shared" si="0"/>
        <v>-34.268000000000001</v>
      </c>
      <c r="K19" s="9">
        <f t="shared" si="1"/>
        <v>0</v>
      </c>
      <c r="L19" s="9">
        <f t="shared" si="2"/>
        <v>0</v>
      </c>
    </row>
    <row r="20" spans="1:15" x14ac:dyDescent="0.25">
      <c r="A20" s="9">
        <v>18</v>
      </c>
      <c r="B20" s="9" t="s">
        <v>25</v>
      </c>
      <c r="C20" s="9">
        <v>2.5</v>
      </c>
      <c r="D20" s="9">
        <v>38</v>
      </c>
      <c r="E20" s="9">
        <v>0</v>
      </c>
      <c r="F20" s="9">
        <f t="shared" si="3"/>
        <v>0.1</v>
      </c>
      <c r="G20" s="9">
        <f t="shared" si="4"/>
        <v>0.72</v>
      </c>
      <c r="H20" s="9">
        <f t="shared" si="5"/>
        <v>-3.17</v>
      </c>
      <c r="I20" s="9">
        <f t="shared" si="6"/>
        <v>0.1</v>
      </c>
      <c r="J20" s="9">
        <f t="shared" si="0"/>
        <v>-118.56</v>
      </c>
      <c r="K20" s="9">
        <f t="shared" si="1"/>
        <v>0</v>
      </c>
      <c r="L20" s="9">
        <f t="shared" si="2"/>
        <v>0</v>
      </c>
    </row>
    <row r="21" spans="1:15" x14ac:dyDescent="0.25">
      <c r="A21" s="9">
        <v>19</v>
      </c>
      <c r="B21" s="9" t="s">
        <v>19</v>
      </c>
      <c r="C21" s="9">
        <v>2</v>
      </c>
      <c r="D21" s="9">
        <v>24</v>
      </c>
      <c r="E21" s="9">
        <v>0</v>
      </c>
      <c r="F21" s="9">
        <f t="shared" si="3"/>
        <v>0.1</v>
      </c>
      <c r="G21" s="9">
        <f t="shared" si="4"/>
        <v>0.72</v>
      </c>
      <c r="H21" s="9">
        <f t="shared" si="5"/>
        <v>-3.17</v>
      </c>
      <c r="I21" s="9">
        <f t="shared" si="6"/>
        <v>0.1</v>
      </c>
      <c r="J21" s="9">
        <f t="shared" si="0"/>
        <v>-74.540000000000006</v>
      </c>
      <c r="K21" s="9">
        <f t="shared" si="1"/>
        <v>0</v>
      </c>
      <c r="L21" s="9">
        <f t="shared" si="2"/>
        <v>0</v>
      </c>
    </row>
    <row r="22" spans="1:15" x14ac:dyDescent="0.25">
      <c r="A22" s="9">
        <v>20</v>
      </c>
      <c r="B22" s="9" t="s">
        <v>24</v>
      </c>
      <c r="C22" s="9">
        <v>5.5</v>
      </c>
      <c r="D22" s="9">
        <v>34</v>
      </c>
      <c r="E22" s="9">
        <v>0</v>
      </c>
      <c r="F22" s="9">
        <f t="shared" si="3"/>
        <v>0.1</v>
      </c>
      <c r="G22" s="9">
        <f t="shared" si="4"/>
        <v>0.72</v>
      </c>
      <c r="H22" s="9">
        <f t="shared" si="5"/>
        <v>-3.17</v>
      </c>
      <c r="I22" s="9">
        <f t="shared" si="6"/>
        <v>0.1</v>
      </c>
      <c r="J22" s="9">
        <f t="shared" si="0"/>
        <v>-103.72000000000001</v>
      </c>
      <c r="K22" s="9">
        <f t="shared" si="1"/>
        <v>0</v>
      </c>
      <c r="L22" s="9">
        <f t="shared" si="2"/>
        <v>0</v>
      </c>
    </row>
    <row r="23" spans="1:15" x14ac:dyDescent="0.25">
      <c r="A23" s="9">
        <v>21</v>
      </c>
      <c r="B23" s="9" t="s">
        <v>41</v>
      </c>
      <c r="C23" s="9">
        <v>1.9</v>
      </c>
      <c r="D23" s="9">
        <v>23</v>
      </c>
      <c r="E23" s="9">
        <v>0</v>
      </c>
      <c r="F23" s="9">
        <f t="shared" si="3"/>
        <v>0.1</v>
      </c>
      <c r="G23" s="9">
        <f t="shared" si="4"/>
        <v>0.72</v>
      </c>
      <c r="H23" s="9">
        <f t="shared" si="5"/>
        <v>-3.17</v>
      </c>
      <c r="I23" s="9">
        <f t="shared" si="6"/>
        <v>0.1</v>
      </c>
      <c r="J23" s="9">
        <f t="shared" si="0"/>
        <v>-71.442000000000007</v>
      </c>
      <c r="K23" s="9">
        <f t="shared" si="1"/>
        <v>0</v>
      </c>
      <c r="L23" s="9">
        <f t="shared" si="2"/>
        <v>0</v>
      </c>
    </row>
    <row r="24" spans="1:15" ht="15.75" thickBot="1" x14ac:dyDescent="0.3">
      <c r="A24" s="9">
        <v>22</v>
      </c>
      <c r="B24" s="9" t="s">
        <v>22</v>
      </c>
      <c r="C24" s="9">
        <v>2.4</v>
      </c>
      <c r="D24" s="9">
        <v>14</v>
      </c>
      <c r="E24" s="9">
        <v>0</v>
      </c>
      <c r="F24" s="9">
        <f t="shared" si="3"/>
        <v>0.1</v>
      </c>
      <c r="G24" s="9">
        <f t="shared" si="4"/>
        <v>0.72</v>
      </c>
      <c r="H24" s="9">
        <f t="shared" si="5"/>
        <v>-3.17</v>
      </c>
      <c r="I24" s="9">
        <f t="shared" si="6"/>
        <v>0.1</v>
      </c>
      <c r="J24" s="9">
        <f t="shared" si="0"/>
        <v>-42.551999999999992</v>
      </c>
      <c r="K24" s="9">
        <f t="shared" si="1"/>
        <v>0</v>
      </c>
      <c r="L24" s="9">
        <f t="shared" si="2"/>
        <v>0</v>
      </c>
    </row>
    <row r="25" spans="1:15" ht="15.75" thickBot="1" x14ac:dyDescent="0.3">
      <c r="A25" s="9">
        <v>23</v>
      </c>
      <c r="B25" s="9" t="s">
        <v>23</v>
      </c>
      <c r="C25" s="9">
        <v>0.1</v>
      </c>
      <c r="D25" s="9">
        <v>12</v>
      </c>
      <c r="E25" s="9">
        <v>0</v>
      </c>
      <c r="F25" s="9">
        <f t="shared" si="3"/>
        <v>0.1</v>
      </c>
      <c r="G25" s="9">
        <f t="shared" si="4"/>
        <v>0.72</v>
      </c>
      <c r="H25" s="9">
        <f t="shared" si="5"/>
        <v>-3.17</v>
      </c>
      <c r="I25" s="9">
        <f t="shared" si="6"/>
        <v>0.1</v>
      </c>
      <c r="J25" s="9">
        <f t="shared" si="0"/>
        <v>-37.867999999999995</v>
      </c>
      <c r="K25" s="9">
        <f t="shared" si="1"/>
        <v>0</v>
      </c>
      <c r="L25" s="9">
        <f t="shared" si="2"/>
        <v>0</v>
      </c>
      <c r="M25" s="4">
        <f>SUMPRODUCT(ABS(L4:L25))</f>
        <v>3</v>
      </c>
      <c r="N25" s="14" t="s">
        <v>44</v>
      </c>
      <c r="O25" s="5"/>
    </row>
    <row r="26" spans="1:15" x14ac:dyDescent="0.25">
      <c r="A26" s="10">
        <v>2</v>
      </c>
      <c r="B26" s="10" t="s">
        <v>5</v>
      </c>
      <c r="C26" s="10">
        <v>10.5</v>
      </c>
      <c r="D26" s="10">
        <v>11</v>
      </c>
      <c r="E26" s="10">
        <v>1</v>
      </c>
      <c r="F26" s="10">
        <f t="shared" si="3"/>
        <v>0.1</v>
      </c>
      <c r="G26" s="10">
        <f t="shared" si="4"/>
        <v>0.72</v>
      </c>
      <c r="H26" s="10">
        <f t="shared" si="5"/>
        <v>-3.17</v>
      </c>
      <c r="I26" s="10">
        <f t="shared" si="6"/>
        <v>0.1</v>
      </c>
      <c r="J26" s="10">
        <f t="shared" si="0"/>
        <v>-27.209999999999997</v>
      </c>
      <c r="K26" s="10">
        <f t="shared" si="1"/>
        <v>0</v>
      </c>
      <c r="L26" s="10">
        <f t="shared" si="2"/>
        <v>1</v>
      </c>
    </row>
    <row r="27" spans="1:15" x14ac:dyDescent="0.25">
      <c r="A27" s="10">
        <v>3</v>
      </c>
      <c r="B27" s="10" t="s">
        <v>37</v>
      </c>
      <c r="C27" s="10">
        <v>8.6</v>
      </c>
      <c r="D27" s="10">
        <v>9.3000000000000007</v>
      </c>
      <c r="E27" s="10">
        <v>1</v>
      </c>
      <c r="F27" s="10">
        <f t="shared" si="3"/>
        <v>0.1</v>
      </c>
      <c r="G27" s="10">
        <f t="shared" si="4"/>
        <v>1.58</v>
      </c>
      <c r="H27" s="10">
        <f t="shared" si="5"/>
        <v>-2.2399999999999998</v>
      </c>
      <c r="I27" s="10">
        <f t="shared" si="6"/>
        <v>0.2</v>
      </c>
      <c r="J27" s="10">
        <f t="shared" si="0"/>
        <v>-7.0440000000000014</v>
      </c>
      <c r="K27" s="10">
        <f t="shared" si="1"/>
        <v>0</v>
      </c>
      <c r="L27" s="10">
        <f t="shared" si="2"/>
        <v>1</v>
      </c>
    </row>
    <row r="28" spans="1:15" x14ac:dyDescent="0.25">
      <c r="A28" s="10">
        <v>4</v>
      </c>
      <c r="B28" s="10" t="s">
        <v>36</v>
      </c>
      <c r="C28" s="10">
        <v>12</v>
      </c>
      <c r="D28" s="10">
        <v>9</v>
      </c>
      <c r="E28" s="10">
        <v>1</v>
      </c>
      <c r="F28" s="10">
        <f t="shared" si="3"/>
        <v>0.1</v>
      </c>
      <c r="G28" s="10">
        <f t="shared" si="4"/>
        <v>2.7800000000000002</v>
      </c>
      <c r="H28" s="10">
        <f t="shared" si="5"/>
        <v>-1.3399999999999999</v>
      </c>
      <c r="I28" s="10">
        <f t="shared" si="6"/>
        <v>0.30000000000000004</v>
      </c>
      <c r="J28" s="10">
        <f t="shared" si="0"/>
        <v>21.6</v>
      </c>
      <c r="K28" s="10">
        <f t="shared" si="1"/>
        <v>1</v>
      </c>
      <c r="L28" s="10">
        <f t="shared" si="2"/>
        <v>0</v>
      </c>
    </row>
    <row r="29" spans="1:15" x14ac:dyDescent="0.25">
      <c r="A29" s="10">
        <v>5</v>
      </c>
      <c r="B29" s="10" t="s">
        <v>38</v>
      </c>
      <c r="C29" s="10">
        <v>13.3</v>
      </c>
      <c r="D29" s="10">
        <v>12</v>
      </c>
      <c r="E29" s="10">
        <v>1</v>
      </c>
      <c r="F29" s="10">
        <f t="shared" si="3"/>
        <v>0.1</v>
      </c>
      <c r="G29" s="10">
        <f t="shared" si="4"/>
        <v>2.7800000000000002</v>
      </c>
      <c r="H29" s="10">
        <f t="shared" si="5"/>
        <v>-1.3399999999999999</v>
      </c>
      <c r="I29" s="10">
        <f t="shared" si="6"/>
        <v>0.30000000000000004</v>
      </c>
      <c r="J29" s="10">
        <f t="shared" si="0"/>
        <v>21.194000000000006</v>
      </c>
      <c r="K29" s="10">
        <f t="shared" si="1"/>
        <v>1</v>
      </c>
      <c r="L29" s="10">
        <f t="shared" si="2"/>
        <v>0</v>
      </c>
    </row>
    <row r="30" spans="1:15" x14ac:dyDescent="0.25">
      <c r="A30" s="10">
        <v>6</v>
      </c>
      <c r="B30" s="10" t="s">
        <v>12</v>
      </c>
      <c r="C30" s="10">
        <v>8.9</v>
      </c>
      <c r="D30" s="10">
        <v>13</v>
      </c>
      <c r="E30" s="10">
        <v>1</v>
      </c>
      <c r="F30" s="10">
        <f t="shared" si="3"/>
        <v>0.1</v>
      </c>
      <c r="G30" s="10">
        <f t="shared" si="4"/>
        <v>2.7800000000000002</v>
      </c>
      <c r="H30" s="10">
        <f t="shared" si="5"/>
        <v>-1.3399999999999999</v>
      </c>
      <c r="I30" s="10">
        <f t="shared" si="6"/>
        <v>0.30000000000000004</v>
      </c>
      <c r="J30" s="10">
        <f t="shared" si="0"/>
        <v>7.6220000000000061</v>
      </c>
      <c r="K30" s="10">
        <f t="shared" si="1"/>
        <v>1</v>
      </c>
      <c r="L30" s="10">
        <f t="shared" si="2"/>
        <v>0</v>
      </c>
    </row>
    <row r="31" spans="1:15" x14ac:dyDescent="0.25">
      <c r="A31" s="10">
        <v>7</v>
      </c>
      <c r="B31" s="10" t="s">
        <v>40</v>
      </c>
      <c r="C31" s="10">
        <v>14.6</v>
      </c>
      <c r="D31" s="10">
        <v>7.6</v>
      </c>
      <c r="E31" s="10">
        <v>1</v>
      </c>
      <c r="F31" s="10">
        <f t="shared" si="3"/>
        <v>0.1</v>
      </c>
      <c r="G31" s="10">
        <f t="shared" si="4"/>
        <v>2.7800000000000002</v>
      </c>
      <c r="H31" s="10">
        <f t="shared" si="5"/>
        <v>-1.3399999999999999</v>
      </c>
      <c r="I31" s="10">
        <f t="shared" si="6"/>
        <v>0.30000000000000004</v>
      </c>
      <c r="J31" s="10">
        <f t="shared" si="0"/>
        <v>30.704000000000004</v>
      </c>
      <c r="K31" s="10">
        <f t="shared" si="1"/>
        <v>1</v>
      </c>
      <c r="L31" s="10">
        <f t="shared" si="2"/>
        <v>0</v>
      </c>
    </row>
    <row r="32" spans="1:15" x14ac:dyDescent="0.25">
      <c r="A32" s="10">
        <v>8</v>
      </c>
      <c r="B32" s="10" t="s">
        <v>13</v>
      </c>
      <c r="C32" s="10">
        <v>7.3</v>
      </c>
      <c r="D32" s="10">
        <v>8.1999999999999993</v>
      </c>
      <c r="E32" s="10">
        <v>1</v>
      </c>
      <c r="F32" s="10">
        <f t="shared" si="3"/>
        <v>0.1</v>
      </c>
      <c r="G32" s="10">
        <f t="shared" si="4"/>
        <v>2.7800000000000002</v>
      </c>
      <c r="H32" s="10">
        <f t="shared" si="5"/>
        <v>-1.3399999999999999</v>
      </c>
      <c r="I32" s="10">
        <f t="shared" si="6"/>
        <v>0.30000000000000004</v>
      </c>
      <c r="J32" s="10">
        <f t="shared" si="0"/>
        <v>9.6060000000000034</v>
      </c>
      <c r="K32" s="10">
        <f t="shared" si="1"/>
        <v>1</v>
      </c>
      <c r="L32" s="10">
        <f t="shared" si="2"/>
        <v>0</v>
      </c>
    </row>
    <row r="33" spans="1:15" x14ac:dyDescent="0.25">
      <c r="A33" s="10">
        <v>9</v>
      </c>
      <c r="B33" s="10" t="s">
        <v>14</v>
      </c>
      <c r="C33" s="10">
        <v>7.1</v>
      </c>
      <c r="D33" s="10">
        <v>8</v>
      </c>
      <c r="E33" s="10">
        <v>1</v>
      </c>
      <c r="F33" s="10">
        <f t="shared" si="3"/>
        <v>0.1</v>
      </c>
      <c r="G33" s="10">
        <f t="shared" si="4"/>
        <v>2.7800000000000002</v>
      </c>
      <c r="H33" s="10">
        <f t="shared" si="5"/>
        <v>-1.3399999999999999</v>
      </c>
      <c r="I33" s="10">
        <f t="shared" si="6"/>
        <v>0.30000000000000004</v>
      </c>
      <c r="J33" s="10">
        <f t="shared" si="0"/>
        <v>9.3180000000000014</v>
      </c>
      <c r="K33" s="10">
        <f t="shared" si="1"/>
        <v>1</v>
      </c>
      <c r="L33" s="10">
        <f t="shared" si="2"/>
        <v>0</v>
      </c>
    </row>
    <row r="34" spans="1:15" x14ac:dyDescent="0.25">
      <c r="A34" s="10">
        <v>10</v>
      </c>
      <c r="B34" s="10" t="s">
        <v>15</v>
      </c>
      <c r="C34" s="10">
        <v>8.8000000000000007</v>
      </c>
      <c r="D34" s="10">
        <v>8</v>
      </c>
      <c r="E34" s="10">
        <v>1</v>
      </c>
      <c r="F34" s="10">
        <f t="shared" si="3"/>
        <v>0.1</v>
      </c>
      <c r="G34" s="10">
        <f t="shared" si="4"/>
        <v>2.7800000000000002</v>
      </c>
      <c r="H34" s="10">
        <f t="shared" si="5"/>
        <v>-1.3399999999999999</v>
      </c>
      <c r="I34" s="10">
        <f t="shared" si="6"/>
        <v>0.30000000000000004</v>
      </c>
      <c r="J34" s="10">
        <f t="shared" si="0"/>
        <v>14.044000000000008</v>
      </c>
      <c r="K34" s="10">
        <f t="shared" si="1"/>
        <v>1</v>
      </c>
      <c r="L34" s="10">
        <f t="shared" si="2"/>
        <v>0</v>
      </c>
    </row>
    <row r="35" spans="1:15" x14ac:dyDescent="0.25">
      <c r="A35" s="10">
        <v>11</v>
      </c>
      <c r="B35" s="10" t="s">
        <v>26</v>
      </c>
      <c r="C35" s="10">
        <v>10</v>
      </c>
      <c r="D35" s="10">
        <v>5</v>
      </c>
      <c r="E35" s="10">
        <v>1</v>
      </c>
      <c r="F35" s="10">
        <f t="shared" si="3"/>
        <v>0.1</v>
      </c>
      <c r="G35" s="10">
        <f t="shared" si="4"/>
        <v>2.7800000000000002</v>
      </c>
      <c r="H35" s="10">
        <f t="shared" si="5"/>
        <v>-1.3399999999999999</v>
      </c>
      <c r="I35" s="10">
        <f t="shared" si="6"/>
        <v>0.30000000000000004</v>
      </c>
      <c r="J35" s="10">
        <f t="shared" si="0"/>
        <v>21.400000000000006</v>
      </c>
      <c r="K35" s="10">
        <f t="shared" si="1"/>
        <v>1</v>
      </c>
      <c r="L35" s="10">
        <f t="shared" si="2"/>
        <v>0</v>
      </c>
    </row>
    <row r="36" spans="1:15" x14ac:dyDescent="0.25">
      <c r="A36" s="10">
        <v>12</v>
      </c>
      <c r="B36" s="10" t="s">
        <v>27</v>
      </c>
      <c r="C36" s="10">
        <v>11.5</v>
      </c>
      <c r="D36" s="10">
        <v>6.5</v>
      </c>
      <c r="E36" s="10">
        <v>1</v>
      </c>
      <c r="F36" s="10">
        <f t="shared" si="3"/>
        <v>0.1</v>
      </c>
      <c r="G36" s="10">
        <f t="shared" si="4"/>
        <v>2.7800000000000002</v>
      </c>
      <c r="H36" s="10">
        <f t="shared" si="5"/>
        <v>-1.3399999999999999</v>
      </c>
      <c r="I36" s="10">
        <f t="shared" si="6"/>
        <v>0.30000000000000004</v>
      </c>
      <c r="J36" s="10">
        <f t="shared" si="0"/>
        <v>23.560000000000006</v>
      </c>
      <c r="K36" s="10">
        <f t="shared" si="1"/>
        <v>1</v>
      </c>
      <c r="L36" s="10">
        <f t="shared" si="2"/>
        <v>0</v>
      </c>
    </row>
    <row r="37" spans="1:15" x14ac:dyDescent="0.25">
      <c r="A37" s="10">
        <v>13</v>
      </c>
      <c r="B37" s="10" t="s">
        <v>39</v>
      </c>
      <c r="C37" s="10">
        <v>0.5</v>
      </c>
      <c r="D37" s="10">
        <v>81</v>
      </c>
      <c r="E37" s="10">
        <v>0</v>
      </c>
      <c r="F37" s="10">
        <f t="shared" si="3"/>
        <v>0.1</v>
      </c>
      <c r="G37" s="10">
        <f t="shared" si="4"/>
        <v>2.7800000000000002</v>
      </c>
      <c r="H37" s="10">
        <f t="shared" si="5"/>
        <v>-1.3399999999999999</v>
      </c>
      <c r="I37" s="10">
        <f t="shared" si="6"/>
        <v>0.30000000000000004</v>
      </c>
      <c r="J37" s="10">
        <f t="shared" si="0"/>
        <v>-106.85</v>
      </c>
      <c r="K37" s="10">
        <f t="shared" si="1"/>
        <v>0</v>
      </c>
      <c r="L37" s="10">
        <f t="shared" si="2"/>
        <v>0</v>
      </c>
    </row>
    <row r="38" spans="1:15" x14ac:dyDescent="0.25">
      <c r="A38" s="10">
        <v>14</v>
      </c>
      <c r="B38" s="10" t="s">
        <v>35</v>
      </c>
      <c r="C38" s="10">
        <v>1.9</v>
      </c>
      <c r="D38" s="10">
        <v>40</v>
      </c>
      <c r="E38" s="10">
        <v>0</v>
      </c>
      <c r="F38" s="10">
        <f t="shared" si="3"/>
        <v>0.1</v>
      </c>
      <c r="G38" s="10">
        <f t="shared" si="4"/>
        <v>2.7800000000000002</v>
      </c>
      <c r="H38" s="10">
        <f t="shared" si="5"/>
        <v>-1.3399999999999999</v>
      </c>
      <c r="I38" s="10">
        <f t="shared" si="6"/>
        <v>0.30000000000000004</v>
      </c>
      <c r="J38" s="10">
        <f t="shared" si="0"/>
        <v>-48.018000000000001</v>
      </c>
      <c r="K38" s="10">
        <f t="shared" si="1"/>
        <v>0</v>
      </c>
      <c r="L38" s="10">
        <f t="shared" si="2"/>
        <v>0</v>
      </c>
    </row>
    <row r="39" spans="1:15" x14ac:dyDescent="0.25">
      <c r="A39" s="10">
        <v>15</v>
      </c>
      <c r="B39" s="10" t="s">
        <v>16</v>
      </c>
      <c r="C39" s="10">
        <v>1.3</v>
      </c>
      <c r="D39" s="10">
        <v>11</v>
      </c>
      <c r="E39" s="10">
        <v>0</v>
      </c>
      <c r="F39" s="10">
        <f t="shared" si="3"/>
        <v>0.1</v>
      </c>
      <c r="G39" s="10">
        <f t="shared" si="4"/>
        <v>2.7800000000000002</v>
      </c>
      <c r="H39" s="10">
        <f t="shared" si="5"/>
        <v>-1.3399999999999999</v>
      </c>
      <c r="I39" s="10">
        <f t="shared" si="6"/>
        <v>0.30000000000000004</v>
      </c>
      <c r="J39" s="10">
        <f t="shared" si="0"/>
        <v>-10.825999999999997</v>
      </c>
      <c r="K39" s="10">
        <f t="shared" si="1"/>
        <v>0</v>
      </c>
      <c r="L39" s="10">
        <f t="shared" si="2"/>
        <v>0</v>
      </c>
    </row>
    <row r="40" spans="1:15" x14ac:dyDescent="0.25">
      <c r="A40" s="10">
        <v>16</v>
      </c>
      <c r="B40" s="10" t="s">
        <v>17</v>
      </c>
      <c r="C40" s="10">
        <v>3.5</v>
      </c>
      <c r="D40" s="10">
        <v>8.8000000000000007</v>
      </c>
      <c r="E40" s="10">
        <v>0</v>
      </c>
      <c r="F40" s="10">
        <f t="shared" si="3"/>
        <v>0.1</v>
      </c>
      <c r="G40" s="10">
        <f t="shared" si="4"/>
        <v>2.7800000000000002</v>
      </c>
      <c r="H40" s="10">
        <f t="shared" si="5"/>
        <v>-1.3399999999999999</v>
      </c>
      <c r="I40" s="10">
        <f t="shared" si="6"/>
        <v>0.30000000000000004</v>
      </c>
      <c r="J40" s="10">
        <f t="shared" si="0"/>
        <v>-1.7619999999999993</v>
      </c>
      <c r="K40" s="10">
        <f t="shared" si="1"/>
        <v>0</v>
      </c>
      <c r="L40" s="10">
        <f t="shared" si="2"/>
        <v>0</v>
      </c>
    </row>
    <row r="41" spans="1:15" x14ac:dyDescent="0.25">
      <c r="A41" s="10">
        <v>17</v>
      </c>
      <c r="B41" s="10" t="s">
        <v>18</v>
      </c>
      <c r="C41" s="10">
        <v>5.0999999999999996</v>
      </c>
      <c r="D41" s="10">
        <v>12</v>
      </c>
      <c r="E41" s="10">
        <v>0</v>
      </c>
      <c r="F41" s="10">
        <f t="shared" si="3"/>
        <v>0.1</v>
      </c>
      <c r="G41" s="10">
        <f t="shared" si="4"/>
        <v>2.7800000000000002</v>
      </c>
      <c r="H41" s="10">
        <f t="shared" si="5"/>
        <v>-1.3399999999999999</v>
      </c>
      <c r="I41" s="10">
        <f t="shared" si="6"/>
        <v>0.30000000000000004</v>
      </c>
      <c r="J41" s="10">
        <f t="shared" si="0"/>
        <v>-1.6019999999999974</v>
      </c>
      <c r="K41" s="10">
        <f t="shared" si="1"/>
        <v>0</v>
      </c>
      <c r="L41" s="10">
        <f t="shared" si="2"/>
        <v>0</v>
      </c>
    </row>
    <row r="42" spans="1:15" x14ac:dyDescent="0.25">
      <c r="A42" s="10">
        <v>18</v>
      </c>
      <c r="B42" s="10" t="s">
        <v>25</v>
      </c>
      <c r="C42" s="10">
        <v>2.5</v>
      </c>
      <c r="D42" s="10">
        <v>38</v>
      </c>
      <c r="E42" s="10">
        <v>0</v>
      </c>
      <c r="F42" s="10">
        <f t="shared" si="3"/>
        <v>0.1</v>
      </c>
      <c r="G42" s="10">
        <f t="shared" si="4"/>
        <v>2.7800000000000002</v>
      </c>
      <c r="H42" s="10">
        <f t="shared" si="5"/>
        <v>-1.3399999999999999</v>
      </c>
      <c r="I42" s="10">
        <f t="shared" si="6"/>
        <v>0.30000000000000004</v>
      </c>
      <c r="J42" s="10">
        <f t="shared" si="0"/>
        <v>-43.669999999999995</v>
      </c>
      <c r="K42" s="10">
        <f t="shared" si="1"/>
        <v>0</v>
      </c>
      <c r="L42" s="10">
        <f t="shared" si="2"/>
        <v>0</v>
      </c>
    </row>
    <row r="43" spans="1:15" x14ac:dyDescent="0.25">
      <c r="A43" s="10">
        <v>19</v>
      </c>
      <c r="B43" s="10" t="s">
        <v>19</v>
      </c>
      <c r="C43" s="10">
        <v>2</v>
      </c>
      <c r="D43" s="10">
        <v>24</v>
      </c>
      <c r="E43" s="10">
        <v>0</v>
      </c>
      <c r="F43" s="10">
        <f t="shared" si="3"/>
        <v>0.1</v>
      </c>
      <c r="G43" s="10">
        <f t="shared" si="4"/>
        <v>2.7800000000000002</v>
      </c>
      <c r="H43" s="10">
        <f t="shared" si="5"/>
        <v>-1.3399999999999999</v>
      </c>
      <c r="I43" s="10">
        <f t="shared" si="6"/>
        <v>0.30000000000000004</v>
      </c>
      <c r="J43" s="10">
        <f t="shared" si="0"/>
        <v>-26.299999999999994</v>
      </c>
      <c r="K43" s="10">
        <f t="shared" si="1"/>
        <v>0</v>
      </c>
      <c r="L43" s="10">
        <f t="shared" si="2"/>
        <v>0</v>
      </c>
    </row>
    <row r="44" spans="1:15" x14ac:dyDescent="0.25">
      <c r="A44" s="10">
        <v>20</v>
      </c>
      <c r="B44" s="10" t="s">
        <v>24</v>
      </c>
      <c r="C44" s="10">
        <v>5.5</v>
      </c>
      <c r="D44" s="10">
        <v>34</v>
      </c>
      <c r="E44" s="10">
        <v>0</v>
      </c>
      <c r="F44" s="10">
        <f t="shared" si="3"/>
        <v>0.1</v>
      </c>
      <c r="G44" s="10">
        <f t="shared" si="4"/>
        <v>2.7800000000000002</v>
      </c>
      <c r="H44" s="10">
        <f t="shared" si="5"/>
        <v>-1.3399999999999999</v>
      </c>
      <c r="I44" s="10">
        <f t="shared" si="6"/>
        <v>0.30000000000000004</v>
      </c>
      <c r="J44" s="10">
        <f t="shared" si="0"/>
        <v>-29.969999999999995</v>
      </c>
      <c r="K44" s="10">
        <f t="shared" si="1"/>
        <v>0</v>
      </c>
      <c r="L44" s="10">
        <f t="shared" si="2"/>
        <v>0</v>
      </c>
    </row>
    <row r="45" spans="1:15" x14ac:dyDescent="0.25">
      <c r="A45" s="10">
        <v>21</v>
      </c>
      <c r="B45" s="10" t="s">
        <v>41</v>
      </c>
      <c r="C45" s="10">
        <v>1.9</v>
      </c>
      <c r="D45" s="10">
        <v>23</v>
      </c>
      <c r="E45" s="10">
        <v>0</v>
      </c>
      <c r="F45" s="10">
        <f t="shared" si="3"/>
        <v>0.1</v>
      </c>
      <c r="G45" s="10">
        <f t="shared" si="4"/>
        <v>2.7800000000000002</v>
      </c>
      <c r="H45" s="10">
        <f t="shared" si="5"/>
        <v>-1.3399999999999999</v>
      </c>
      <c r="I45" s="10">
        <f t="shared" si="6"/>
        <v>0.30000000000000004</v>
      </c>
      <c r="J45" s="10">
        <f t="shared" si="0"/>
        <v>-25.237999999999996</v>
      </c>
      <c r="K45" s="10">
        <f t="shared" si="1"/>
        <v>0</v>
      </c>
      <c r="L45" s="10">
        <f t="shared" si="2"/>
        <v>0</v>
      </c>
    </row>
    <row r="46" spans="1:15" ht="15.75" thickBot="1" x14ac:dyDescent="0.3">
      <c r="A46" s="10">
        <v>22</v>
      </c>
      <c r="B46" s="10" t="s">
        <v>22</v>
      </c>
      <c r="C46" s="10">
        <v>2.4</v>
      </c>
      <c r="D46" s="10">
        <v>14</v>
      </c>
      <c r="E46" s="10">
        <v>0</v>
      </c>
      <c r="F46" s="10">
        <f t="shared" si="3"/>
        <v>0.1</v>
      </c>
      <c r="G46" s="10">
        <f t="shared" si="4"/>
        <v>2.7800000000000002</v>
      </c>
      <c r="H46" s="10">
        <f t="shared" si="5"/>
        <v>-1.3399999999999999</v>
      </c>
      <c r="I46" s="10">
        <f t="shared" si="6"/>
        <v>0.30000000000000004</v>
      </c>
      <c r="J46" s="10">
        <f t="shared" si="0"/>
        <v>-11.787999999999997</v>
      </c>
      <c r="K46" s="10">
        <f t="shared" si="1"/>
        <v>0</v>
      </c>
      <c r="L46" s="10">
        <f t="shared" si="2"/>
        <v>0</v>
      </c>
    </row>
    <row r="47" spans="1:15" ht="15.75" thickBot="1" x14ac:dyDescent="0.3">
      <c r="A47" s="10">
        <v>23</v>
      </c>
      <c r="B47" s="10" t="s">
        <v>23</v>
      </c>
      <c r="C47" s="10">
        <v>0.1</v>
      </c>
      <c r="D47" s="10">
        <v>12</v>
      </c>
      <c r="E47" s="10">
        <v>0</v>
      </c>
      <c r="F47" s="10">
        <f t="shared" si="3"/>
        <v>0.1</v>
      </c>
      <c r="G47" s="10">
        <f t="shared" si="4"/>
        <v>2.7800000000000002</v>
      </c>
      <c r="H47" s="10">
        <f t="shared" si="5"/>
        <v>-1.3399999999999999</v>
      </c>
      <c r="I47" s="10">
        <f t="shared" si="6"/>
        <v>0.30000000000000004</v>
      </c>
      <c r="J47" s="10">
        <f t="shared" si="0"/>
        <v>-15.501999999999997</v>
      </c>
      <c r="K47" s="10">
        <f t="shared" si="1"/>
        <v>0</v>
      </c>
      <c r="L47" s="10">
        <f t="shared" si="2"/>
        <v>0</v>
      </c>
      <c r="M47" s="4">
        <f>SUMPRODUCT(ABS(L26:L47))</f>
        <v>2</v>
      </c>
      <c r="N47" s="14" t="s">
        <v>44</v>
      </c>
      <c r="O47" s="5"/>
    </row>
    <row r="48" spans="1:15" x14ac:dyDescent="0.25">
      <c r="A48" s="11">
        <v>2</v>
      </c>
      <c r="B48" s="11" t="s">
        <v>5</v>
      </c>
      <c r="C48" s="11">
        <v>10.5</v>
      </c>
      <c r="D48" s="11">
        <v>11</v>
      </c>
      <c r="E48" s="11">
        <v>1</v>
      </c>
      <c r="F48" s="11">
        <f t="shared" si="3"/>
        <v>0.1</v>
      </c>
      <c r="G48" s="11">
        <f t="shared" si="4"/>
        <v>2.7800000000000002</v>
      </c>
      <c r="H48" s="11">
        <f t="shared" si="5"/>
        <v>-1.3399999999999999</v>
      </c>
      <c r="I48" s="11">
        <f t="shared" si="6"/>
        <v>0.30000000000000004</v>
      </c>
      <c r="J48" s="11">
        <f t="shared" si="0"/>
        <v>14.750000000000004</v>
      </c>
      <c r="K48" s="11">
        <f t="shared" si="1"/>
        <v>1</v>
      </c>
      <c r="L48" s="11">
        <f t="shared" si="2"/>
        <v>0</v>
      </c>
    </row>
    <row r="49" spans="1:12" x14ac:dyDescent="0.25">
      <c r="A49" s="11">
        <v>3</v>
      </c>
      <c r="B49" s="11" t="s">
        <v>37</v>
      </c>
      <c r="C49" s="11">
        <v>8.6</v>
      </c>
      <c r="D49" s="11">
        <v>9.3000000000000007</v>
      </c>
      <c r="E49" s="11">
        <v>1</v>
      </c>
      <c r="F49" s="11">
        <f t="shared" si="3"/>
        <v>0.1</v>
      </c>
      <c r="G49" s="11">
        <f t="shared" si="4"/>
        <v>2.7800000000000002</v>
      </c>
      <c r="H49" s="11">
        <f t="shared" si="5"/>
        <v>-1.3399999999999999</v>
      </c>
      <c r="I49" s="11">
        <f t="shared" si="6"/>
        <v>0.30000000000000004</v>
      </c>
      <c r="J49" s="11">
        <f t="shared" si="0"/>
        <v>11.746000000000002</v>
      </c>
      <c r="K49" s="11">
        <f t="shared" si="1"/>
        <v>1</v>
      </c>
      <c r="L49" s="11">
        <f t="shared" si="2"/>
        <v>0</v>
      </c>
    </row>
    <row r="50" spans="1:12" x14ac:dyDescent="0.25">
      <c r="A50" s="11">
        <v>4</v>
      </c>
      <c r="B50" s="11" t="s">
        <v>36</v>
      </c>
      <c r="C50" s="11">
        <v>12</v>
      </c>
      <c r="D50" s="11">
        <v>9</v>
      </c>
      <c r="E50" s="11">
        <v>1</v>
      </c>
      <c r="F50" s="11">
        <f t="shared" si="3"/>
        <v>0.1</v>
      </c>
      <c r="G50" s="11">
        <f t="shared" si="4"/>
        <v>2.7800000000000002</v>
      </c>
      <c r="H50" s="11">
        <f t="shared" si="5"/>
        <v>-1.3399999999999999</v>
      </c>
      <c r="I50" s="11">
        <f t="shared" si="6"/>
        <v>0.30000000000000004</v>
      </c>
      <c r="J50" s="11">
        <f t="shared" si="0"/>
        <v>21.6</v>
      </c>
      <c r="K50" s="11">
        <f t="shared" si="1"/>
        <v>1</v>
      </c>
      <c r="L50" s="11">
        <f t="shared" si="2"/>
        <v>0</v>
      </c>
    </row>
    <row r="51" spans="1:12" x14ac:dyDescent="0.25">
      <c r="A51" s="11">
        <v>5</v>
      </c>
      <c r="B51" s="11" t="s">
        <v>38</v>
      </c>
      <c r="C51" s="11">
        <v>13.3</v>
      </c>
      <c r="D51" s="11">
        <v>12</v>
      </c>
      <c r="E51" s="11">
        <v>1</v>
      </c>
      <c r="F51" s="11">
        <f t="shared" si="3"/>
        <v>0.1</v>
      </c>
      <c r="G51" s="11">
        <f t="shared" si="4"/>
        <v>2.7800000000000002</v>
      </c>
      <c r="H51" s="11">
        <f t="shared" si="5"/>
        <v>-1.3399999999999999</v>
      </c>
      <c r="I51" s="11">
        <f t="shared" si="6"/>
        <v>0.30000000000000004</v>
      </c>
      <c r="J51" s="11">
        <f t="shared" si="0"/>
        <v>21.194000000000006</v>
      </c>
      <c r="K51" s="11">
        <f t="shared" si="1"/>
        <v>1</v>
      </c>
      <c r="L51" s="11">
        <f t="shared" si="2"/>
        <v>0</v>
      </c>
    </row>
    <row r="52" spans="1:12" x14ac:dyDescent="0.25">
      <c r="A52" s="11">
        <v>6</v>
      </c>
      <c r="B52" s="11" t="s">
        <v>12</v>
      </c>
      <c r="C52" s="11">
        <v>8.9</v>
      </c>
      <c r="D52" s="11">
        <v>13</v>
      </c>
      <c r="E52" s="11">
        <v>1</v>
      </c>
      <c r="F52" s="11">
        <f t="shared" si="3"/>
        <v>0.1</v>
      </c>
      <c r="G52" s="11">
        <f t="shared" si="4"/>
        <v>2.7800000000000002</v>
      </c>
      <c r="H52" s="11">
        <f t="shared" si="5"/>
        <v>-1.3399999999999999</v>
      </c>
      <c r="I52" s="11">
        <f t="shared" si="6"/>
        <v>0.30000000000000004</v>
      </c>
      <c r="J52" s="11">
        <f t="shared" si="0"/>
        <v>7.6220000000000061</v>
      </c>
      <c r="K52" s="11">
        <f t="shared" si="1"/>
        <v>1</v>
      </c>
      <c r="L52" s="11">
        <f t="shared" si="2"/>
        <v>0</v>
      </c>
    </row>
    <row r="53" spans="1:12" x14ac:dyDescent="0.25">
      <c r="A53" s="11">
        <v>7</v>
      </c>
      <c r="B53" s="11" t="s">
        <v>40</v>
      </c>
      <c r="C53" s="11">
        <v>14.6</v>
      </c>
      <c r="D53" s="11">
        <v>7.6</v>
      </c>
      <c r="E53" s="11">
        <v>1</v>
      </c>
      <c r="F53" s="11">
        <f t="shared" si="3"/>
        <v>0.1</v>
      </c>
      <c r="G53" s="11">
        <f t="shared" si="4"/>
        <v>2.7800000000000002</v>
      </c>
      <c r="H53" s="11">
        <f t="shared" si="5"/>
        <v>-1.3399999999999999</v>
      </c>
      <c r="I53" s="11">
        <f t="shared" si="6"/>
        <v>0.30000000000000004</v>
      </c>
      <c r="J53" s="11">
        <f t="shared" si="0"/>
        <v>30.704000000000004</v>
      </c>
      <c r="K53" s="11">
        <f t="shared" si="1"/>
        <v>1</v>
      </c>
      <c r="L53" s="11">
        <f t="shared" si="2"/>
        <v>0</v>
      </c>
    </row>
    <row r="54" spans="1:12" x14ac:dyDescent="0.25">
      <c r="A54" s="11">
        <v>8</v>
      </c>
      <c r="B54" s="11" t="s">
        <v>13</v>
      </c>
      <c r="C54" s="11">
        <v>7.3</v>
      </c>
      <c r="D54" s="11">
        <v>8.1999999999999993</v>
      </c>
      <c r="E54" s="11">
        <v>1</v>
      </c>
      <c r="F54" s="11">
        <f t="shared" si="3"/>
        <v>0.1</v>
      </c>
      <c r="G54" s="11">
        <f t="shared" si="4"/>
        <v>2.7800000000000002</v>
      </c>
      <c r="H54" s="11">
        <f t="shared" si="5"/>
        <v>-1.3399999999999999</v>
      </c>
      <c r="I54" s="11">
        <f t="shared" si="6"/>
        <v>0.30000000000000004</v>
      </c>
      <c r="J54" s="11">
        <f t="shared" si="0"/>
        <v>9.6060000000000034</v>
      </c>
      <c r="K54" s="11">
        <f t="shared" si="1"/>
        <v>1</v>
      </c>
      <c r="L54" s="11">
        <f t="shared" si="2"/>
        <v>0</v>
      </c>
    </row>
    <row r="55" spans="1:12" x14ac:dyDescent="0.25">
      <c r="A55" s="11">
        <v>9</v>
      </c>
      <c r="B55" s="11" t="s">
        <v>14</v>
      </c>
      <c r="C55" s="11">
        <v>7.1</v>
      </c>
      <c r="D55" s="11">
        <v>8</v>
      </c>
      <c r="E55" s="11">
        <v>1</v>
      </c>
      <c r="F55" s="11">
        <f t="shared" si="3"/>
        <v>0.1</v>
      </c>
      <c r="G55" s="11">
        <f t="shared" si="4"/>
        <v>2.7800000000000002</v>
      </c>
      <c r="H55" s="11">
        <f t="shared" si="5"/>
        <v>-1.3399999999999999</v>
      </c>
      <c r="I55" s="11">
        <f t="shared" si="6"/>
        <v>0.30000000000000004</v>
      </c>
      <c r="J55" s="11">
        <f t="shared" si="0"/>
        <v>9.3180000000000014</v>
      </c>
      <c r="K55" s="11">
        <f t="shared" si="1"/>
        <v>1</v>
      </c>
      <c r="L55" s="11">
        <f t="shared" si="2"/>
        <v>0</v>
      </c>
    </row>
    <row r="56" spans="1:12" x14ac:dyDescent="0.25">
      <c r="A56" s="11">
        <v>10</v>
      </c>
      <c r="B56" s="11" t="s">
        <v>15</v>
      </c>
      <c r="C56" s="11">
        <v>8.8000000000000007</v>
      </c>
      <c r="D56" s="11">
        <v>8</v>
      </c>
      <c r="E56" s="11">
        <v>1</v>
      </c>
      <c r="F56" s="11">
        <f t="shared" si="3"/>
        <v>0.1</v>
      </c>
      <c r="G56" s="11">
        <f t="shared" si="4"/>
        <v>2.7800000000000002</v>
      </c>
      <c r="H56" s="11">
        <f t="shared" si="5"/>
        <v>-1.3399999999999999</v>
      </c>
      <c r="I56" s="11">
        <f t="shared" si="6"/>
        <v>0.30000000000000004</v>
      </c>
      <c r="J56" s="11">
        <f t="shared" si="0"/>
        <v>14.044000000000008</v>
      </c>
      <c r="K56" s="11">
        <f t="shared" si="1"/>
        <v>1</v>
      </c>
      <c r="L56" s="11">
        <f t="shared" si="2"/>
        <v>0</v>
      </c>
    </row>
    <row r="57" spans="1:12" x14ac:dyDescent="0.25">
      <c r="A57" s="11">
        <v>11</v>
      </c>
      <c r="B57" s="11" t="s">
        <v>26</v>
      </c>
      <c r="C57" s="11">
        <v>10</v>
      </c>
      <c r="D57" s="11">
        <v>5</v>
      </c>
      <c r="E57" s="11">
        <v>1</v>
      </c>
      <c r="F57" s="11">
        <f t="shared" si="3"/>
        <v>0.1</v>
      </c>
      <c r="G57" s="11">
        <f t="shared" si="4"/>
        <v>2.7800000000000002</v>
      </c>
      <c r="H57" s="11">
        <f t="shared" si="5"/>
        <v>-1.3399999999999999</v>
      </c>
      <c r="I57" s="11">
        <f t="shared" si="6"/>
        <v>0.30000000000000004</v>
      </c>
      <c r="J57" s="11">
        <f t="shared" si="0"/>
        <v>21.400000000000006</v>
      </c>
      <c r="K57" s="11">
        <f t="shared" si="1"/>
        <v>1</v>
      </c>
      <c r="L57" s="11">
        <f t="shared" si="2"/>
        <v>0</v>
      </c>
    </row>
    <row r="58" spans="1:12" x14ac:dyDescent="0.25">
      <c r="A58" s="11">
        <v>12</v>
      </c>
      <c r="B58" s="11" t="s">
        <v>27</v>
      </c>
      <c r="C58" s="11">
        <v>11.5</v>
      </c>
      <c r="D58" s="11">
        <v>6.5</v>
      </c>
      <c r="E58" s="11">
        <v>1</v>
      </c>
      <c r="F58" s="11">
        <f t="shared" si="3"/>
        <v>0.1</v>
      </c>
      <c r="G58" s="11">
        <f t="shared" si="4"/>
        <v>2.7800000000000002</v>
      </c>
      <c r="H58" s="11">
        <f t="shared" si="5"/>
        <v>-1.3399999999999999</v>
      </c>
      <c r="I58" s="11">
        <f t="shared" si="6"/>
        <v>0.30000000000000004</v>
      </c>
      <c r="J58" s="11">
        <f t="shared" si="0"/>
        <v>23.560000000000006</v>
      </c>
      <c r="K58" s="11">
        <f t="shared" si="1"/>
        <v>1</v>
      </c>
      <c r="L58" s="11">
        <f t="shared" si="2"/>
        <v>0</v>
      </c>
    </row>
    <row r="59" spans="1:12" x14ac:dyDescent="0.25">
      <c r="A59" s="11">
        <v>13</v>
      </c>
      <c r="B59" s="11" t="s">
        <v>39</v>
      </c>
      <c r="C59" s="11">
        <v>0.5</v>
      </c>
      <c r="D59" s="11">
        <v>81</v>
      </c>
      <c r="E59" s="11">
        <v>0</v>
      </c>
      <c r="F59" s="11">
        <f t="shared" si="3"/>
        <v>0.1</v>
      </c>
      <c r="G59" s="11">
        <f t="shared" si="4"/>
        <v>2.7800000000000002</v>
      </c>
      <c r="H59" s="11">
        <f t="shared" si="5"/>
        <v>-1.3399999999999999</v>
      </c>
      <c r="I59" s="11">
        <f t="shared" si="6"/>
        <v>0.30000000000000004</v>
      </c>
      <c r="J59" s="11">
        <f t="shared" si="0"/>
        <v>-106.85</v>
      </c>
      <c r="K59" s="11">
        <f t="shared" si="1"/>
        <v>0</v>
      </c>
      <c r="L59" s="11">
        <f t="shared" si="2"/>
        <v>0</v>
      </c>
    </row>
    <row r="60" spans="1:12" x14ac:dyDescent="0.25">
      <c r="A60" s="11">
        <v>14</v>
      </c>
      <c r="B60" s="11" t="s">
        <v>35</v>
      </c>
      <c r="C60" s="11">
        <v>1.9</v>
      </c>
      <c r="D60" s="11">
        <v>40</v>
      </c>
      <c r="E60" s="11">
        <v>0</v>
      </c>
      <c r="F60" s="11">
        <f t="shared" si="3"/>
        <v>0.1</v>
      </c>
      <c r="G60" s="11">
        <f t="shared" si="4"/>
        <v>2.7800000000000002</v>
      </c>
      <c r="H60" s="11">
        <f t="shared" si="5"/>
        <v>-1.3399999999999999</v>
      </c>
      <c r="I60" s="11">
        <f t="shared" si="6"/>
        <v>0.30000000000000004</v>
      </c>
      <c r="J60" s="11">
        <f t="shared" si="0"/>
        <v>-48.018000000000001</v>
      </c>
      <c r="K60" s="11">
        <f t="shared" si="1"/>
        <v>0</v>
      </c>
      <c r="L60" s="11">
        <f t="shared" si="2"/>
        <v>0</v>
      </c>
    </row>
    <row r="61" spans="1:12" x14ac:dyDescent="0.25">
      <c r="A61" s="11">
        <v>15</v>
      </c>
      <c r="B61" s="11" t="s">
        <v>16</v>
      </c>
      <c r="C61" s="11">
        <v>1.3</v>
      </c>
      <c r="D61" s="11">
        <v>11</v>
      </c>
      <c r="E61" s="11">
        <v>0</v>
      </c>
      <c r="F61" s="11">
        <f t="shared" si="3"/>
        <v>0.1</v>
      </c>
      <c r="G61" s="11">
        <f t="shared" si="4"/>
        <v>2.7800000000000002</v>
      </c>
      <c r="H61" s="11">
        <f t="shared" si="5"/>
        <v>-1.3399999999999999</v>
      </c>
      <c r="I61" s="11">
        <f t="shared" si="6"/>
        <v>0.30000000000000004</v>
      </c>
      <c r="J61" s="11">
        <f t="shared" si="0"/>
        <v>-10.825999999999997</v>
      </c>
      <c r="K61" s="11">
        <f t="shared" si="1"/>
        <v>0</v>
      </c>
      <c r="L61" s="11">
        <f t="shared" si="2"/>
        <v>0</v>
      </c>
    </row>
    <row r="62" spans="1:12" x14ac:dyDescent="0.25">
      <c r="A62" s="11">
        <v>16</v>
      </c>
      <c r="B62" s="11" t="s">
        <v>17</v>
      </c>
      <c r="C62" s="11">
        <v>3.5</v>
      </c>
      <c r="D62" s="11">
        <v>8.8000000000000007</v>
      </c>
      <c r="E62" s="11">
        <v>0</v>
      </c>
      <c r="F62" s="11">
        <f t="shared" si="3"/>
        <v>0.1</v>
      </c>
      <c r="G62" s="11">
        <f t="shared" si="4"/>
        <v>2.7800000000000002</v>
      </c>
      <c r="H62" s="11">
        <f t="shared" si="5"/>
        <v>-1.3399999999999999</v>
      </c>
      <c r="I62" s="11">
        <f t="shared" si="6"/>
        <v>0.30000000000000004</v>
      </c>
      <c r="J62" s="11">
        <f t="shared" si="0"/>
        <v>-1.7619999999999993</v>
      </c>
      <c r="K62" s="11">
        <f t="shared" si="1"/>
        <v>0</v>
      </c>
      <c r="L62" s="11">
        <f t="shared" si="2"/>
        <v>0</v>
      </c>
    </row>
    <row r="63" spans="1:12" x14ac:dyDescent="0.25">
      <c r="A63" s="11">
        <v>17</v>
      </c>
      <c r="B63" s="11" t="s">
        <v>18</v>
      </c>
      <c r="C63" s="11">
        <v>5.0999999999999996</v>
      </c>
      <c r="D63" s="11">
        <v>12</v>
      </c>
      <c r="E63" s="11">
        <v>0</v>
      </c>
      <c r="F63" s="11">
        <f t="shared" si="3"/>
        <v>0.1</v>
      </c>
      <c r="G63" s="11">
        <f t="shared" si="4"/>
        <v>2.7800000000000002</v>
      </c>
      <c r="H63" s="11">
        <f t="shared" si="5"/>
        <v>-1.3399999999999999</v>
      </c>
      <c r="I63" s="11">
        <f t="shared" si="6"/>
        <v>0.30000000000000004</v>
      </c>
      <c r="J63" s="11">
        <f t="shared" si="0"/>
        <v>-1.6019999999999974</v>
      </c>
      <c r="K63" s="11">
        <f t="shared" si="1"/>
        <v>0</v>
      </c>
      <c r="L63" s="11">
        <f t="shared" si="2"/>
        <v>0</v>
      </c>
    </row>
    <row r="64" spans="1:12" x14ac:dyDescent="0.25">
      <c r="A64" s="11">
        <v>18</v>
      </c>
      <c r="B64" s="11" t="s">
        <v>25</v>
      </c>
      <c r="C64" s="11">
        <v>2.5</v>
      </c>
      <c r="D64" s="11">
        <v>38</v>
      </c>
      <c r="E64" s="11">
        <v>0</v>
      </c>
      <c r="F64" s="11">
        <f t="shared" si="3"/>
        <v>0.1</v>
      </c>
      <c r="G64" s="11">
        <f t="shared" si="4"/>
        <v>2.7800000000000002</v>
      </c>
      <c r="H64" s="11">
        <f t="shared" si="5"/>
        <v>-1.3399999999999999</v>
      </c>
      <c r="I64" s="11">
        <f t="shared" si="6"/>
        <v>0.30000000000000004</v>
      </c>
      <c r="J64" s="11">
        <f t="shared" si="0"/>
        <v>-43.669999999999995</v>
      </c>
      <c r="K64" s="11">
        <f t="shared" si="1"/>
        <v>0</v>
      </c>
      <c r="L64" s="11">
        <f t="shared" si="2"/>
        <v>0</v>
      </c>
    </row>
    <row r="65" spans="1:15" x14ac:dyDescent="0.25">
      <c r="A65" s="11">
        <v>19</v>
      </c>
      <c r="B65" s="11" t="s">
        <v>19</v>
      </c>
      <c r="C65" s="11">
        <v>2</v>
      </c>
      <c r="D65" s="11">
        <v>24</v>
      </c>
      <c r="E65" s="11">
        <v>0</v>
      </c>
      <c r="F65" s="11">
        <f t="shared" si="3"/>
        <v>0.1</v>
      </c>
      <c r="G65" s="11">
        <f t="shared" si="4"/>
        <v>2.7800000000000002</v>
      </c>
      <c r="H65" s="11">
        <f t="shared" si="5"/>
        <v>-1.3399999999999999</v>
      </c>
      <c r="I65" s="11">
        <f t="shared" si="6"/>
        <v>0.30000000000000004</v>
      </c>
      <c r="J65" s="11">
        <f t="shared" si="0"/>
        <v>-26.299999999999994</v>
      </c>
      <c r="K65" s="11">
        <f t="shared" si="1"/>
        <v>0</v>
      </c>
      <c r="L65" s="11">
        <f t="shared" si="2"/>
        <v>0</v>
      </c>
    </row>
    <row r="66" spans="1:15" x14ac:dyDescent="0.25">
      <c r="A66" s="11">
        <v>20</v>
      </c>
      <c r="B66" s="11" t="s">
        <v>24</v>
      </c>
      <c r="C66" s="11">
        <v>5.5</v>
      </c>
      <c r="D66" s="11">
        <v>34</v>
      </c>
      <c r="E66" s="11">
        <v>0</v>
      </c>
      <c r="F66" s="11">
        <f t="shared" si="3"/>
        <v>0.1</v>
      </c>
      <c r="G66" s="11">
        <f t="shared" si="4"/>
        <v>2.7800000000000002</v>
      </c>
      <c r="H66" s="11">
        <f t="shared" si="5"/>
        <v>-1.3399999999999999</v>
      </c>
      <c r="I66" s="11">
        <f t="shared" si="6"/>
        <v>0.30000000000000004</v>
      </c>
      <c r="J66" s="11">
        <f t="shared" ref="J66:J69" si="7">C66*G66+D66*H66+I66</f>
        <v>-29.969999999999995</v>
      </c>
      <c r="K66" s="11">
        <f t="shared" ref="K66:K69" si="8">IF(J66&gt;0,1,0)</f>
        <v>0</v>
      </c>
      <c r="L66" s="11">
        <f t="shared" ref="L66:L69" si="9">E66-K66</f>
        <v>0</v>
      </c>
    </row>
    <row r="67" spans="1:15" x14ac:dyDescent="0.25">
      <c r="A67" s="11">
        <v>21</v>
      </c>
      <c r="B67" s="11" t="s">
        <v>41</v>
      </c>
      <c r="C67" s="11">
        <v>1.9</v>
      </c>
      <c r="D67" s="11">
        <v>23</v>
      </c>
      <c r="E67" s="11">
        <v>0</v>
      </c>
      <c r="F67" s="11">
        <f t="shared" ref="F67:F69" si="10">$N$2</f>
        <v>0.1</v>
      </c>
      <c r="G67" s="11">
        <f t="shared" si="4"/>
        <v>2.7800000000000002</v>
      </c>
      <c r="H67" s="11">
        <f t="shared" si="5"/>
        <v>-1.3399999999999999</v>
      </c>
      <c r="I67" s="11">
        <f t="shared" si="6"/>
        <v>0.30000000000000004</v>
      </c>
      <c r="J67" s="11">
        <f t="shared" si="7"/>
        <v>-25.237999999999996</v>
      </c>
      <c r="K67" s="11">
        <f t="shared" si="8"/>
        <v>0</v>
      </c>
      <c r="L67" s="11">
        <f t="shared" si="9"/>
        <v>0</v>
      </c>
    </row>
    <row r="68" spans="1:15" ht="15.75" thickBot="1" x14ac:dyDescent="0.3">
      <c r="A68" s="11">
        <v>22</v>
      </c>
      <c r="B68" s="11" t="s">
        <v>22</v>
      </c>
      <c r="C68" s="11">
        <v>2.4</v>
      </c>
      <c r="D68" s="11">
        <v>14</v>
      </c>
      <c r="E68" s="11">
        <v>0</v>
      </c>
      <c r="F68" s="11">
        <f t="shared" si="10"/>
        <v>0.1</v>
      </c>
      <c r="G68" s="11">
        <f t="shared" si="4"/>
        <v>2.7800000000000002</v>
      </c>
      <c r="H68" s="11">
        <f t="shared" si="5"/>
        <v>-1.3399999999999999</v>
      </c>
      <c r="I68" s="11">
        <f t="shared" si="6"/>
        <v>0.30000000000000004</v>
      </c>
      <c r="J68" s="11">
        <f t="shared" si="7"/>
        <v>-11.787999999999997</v>
      </c>
      <c r="K68" s="11">
        <f t="shared" si="8"/>
        <v>0</v>
      </c>
      <c r="L68" s="11">
        <f t="shared" si="9"/>
        <v>0</v>
      </c>
    </row>
    <row r="69" spans="1:15" ht="15.75" thickBot="1" x14ac:dyDescent="0.3">
      <c r="A69" s="11">
        <v>23</v>
      </c>
      <c r="B69" s="11" t="s">
        <v>23</v>
      </c>
      <c r="C69" s="11">
        <v>0.1</v>
      </c>
      <c r="D69" s="11">
        <v>12</v>
      </c>
      <c r="E69" s="11">
        <v>0</v>
      </c>
      <c r="F69" s="11">
        <f t="shared" si="10"/>
        <v>0.1</v>
      </c>
      <c r="G69" s="11">
        <f t="shared" si="4"/>
        <v>2.7800000000000002</v>
      </c>
      <c r="H69" s="11">
        <f t="shared" si="5"/>
        <v>-1.3399999999999999</v>
      </c>
      <c r="I69" s="11">
        <f t="shared" si="6"/>
        <v>0.30000000000000004</v>
      </c>
      <c r="J69" s="11">
        <f t="shared" si="7"/>
        <v>-15.501999999999997</v>
      </c>
      <c r="K69" s="11">
        <f t="shared" si="8"/>
        <v>0</v>
      </c>
      <c r="L69" s="11">
        <f t="shared" si="9"/>
        <v>0</v>
      </c>
      <c r="M69" s="4">
        <f>SUMPRODUCT(ABS(L48:L69))</f>
        <v>0</v>
      </c>
      <c r="N69" s="14" t="s">
        <v>44</v>
      </c>
      <c r="O69" s="5"/>
    </row>
  </sheetData>
  <pageMargins left="0.75" right="0.75" top="1" bottom="1" header="0.5" footer="0.5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24" sqref="E24"/>
    </sheetView>
  </sheetViews>
  <sheetFormatPr baseColWidth="10" defaultRowHeight="15" x14ac:dyDescent="0.25"/>
  <cols>
    <col min="1" max="1" width="22.28515625" customWidth="1"/>
    <col min="2" max="2" width="18.42578125" customWidth="1"/>
    <col min="3" max="3" width="17.85546875" customWidth="1"/>
    <col min="4" max="4" width="22.42578125" customWidth="1"/>
    <col min="5" max="5" width="18.28515625" customWidth="1"/>
    <col min="6" max="6" width="16.28515625" customWidth="1"/>
  </cols>
  <sheetData>
    <row r="1" spans="1:6" ht="24" customHeight="1" x14ac:dyDescent="0.35">
      <c r="A1" s="15" t="s">
        <v>42</v>
      </c>
      <c r="B1" s="15"/>
      <c r="C1" s="15"/>
      <c r="D1" s="15"/>
      <c r="E1" s="2"/>
    </row>
    <row r="2" spans="1:6" ht="24" customHeight="1" x14ac:dyDescent="0.35">
      <c r="A2" s="3"/>
      <c r="B2" s="3"/>
      <c r="C2" s="3"/>
      <c r="D2" s="3"/>
      <c r="E2" s="2"/>
    </row>
    <row r="3" spans="1:6" x14ac:dyDescent="0.25">
      <c r="A3" t="s">
        <v>29</v>
      </c>
      <c r="B3" t="s">
        <v>31</v>
      </c>
      <c r="C3" t="s">
        <v>32</v>
      </c>
      <c r="D3" t="s">
        <v>1</v>
      </c>
      <c r="E3" t="s">
        <v>30</v>
      </c>
      <c r="F3" t="s">
        <v>28</v>
      </c>
    </row>
    <row r="4" spans="1:6" x14ac:dyDescent="0.25">
      <c r="A4" t="s">
        <v>43</v>
      </c>
      <c r="B4">
        <v>0.1</v>
      </c>
      <c r="C4">
        <v>89</v>
      </c>
      <c r="D4">
        <f>B4*Training!$G$69 + C4*Training!$H$69 + Training!$I$69</f>
        <v>-118.68199999999999</v>
      </c>
      <c r="E4">
        <f t="shared" ref="E4:E14" si="0">IF(D4&gt;0,1,0)</f>
        <v>0</v>
      </c>
      <c r="F4" t="str">
        <f t="shared" ref="F4:F14" si="1">IF(E4=1,"Obst","Gemüse")</f>
        <v>Gemüse</v>
      </c>
    </row>
    <row r="5" spans="1:6" x14ac:dyDescent="0.25">
      <c r="A5" t="s">
        <v>26</v>
      </c>
      <c r="B5">
        <v>10</v>
      </c>
      <c r="C5">
        <v>5</v>
      </c>
      <c r="D5">
        <f>B5*Training!$G$69 + C5*Training!$H$69 + Training!$I$69</f>
        <v>21.400000000000006</v>
      </c>
      <c r="E5">
        <f t="shared" si="0"/>
        <v>1</v>
      </c>
      <c r="F5" t="str">
        <f t="shared" si="1"/>
        <v>Obst</v>
      </c>
    </row>
    <row r="6" spans="1:6" x14ac:dyDescent="0.25">
      <c r="A6" t="s">
        <v>45</v>
      </c>
      <c r="B6">
        <v>6.1</v>
      </c>
      <c r="C6">
        <v>6</v>
      </c>
      <c r="D6">
        <f>B6*Training!$G$69 + C6*Training!$H$69 + Training!$I$69</f>
        <v>9.2180000000000035</v>
      </c>
      <c r="E6">
        <f t="shared" si="0"/>
        <v>1</v>
      </c>
      <c r="F6" t="str">
        <f t="shared" si="1"/>
        <v>Obst</v>
      </c>
    </row>
    <row r="7" spans="1:6" x14ac:dyDescent="0.25">
      <c r="A7" t="s">
        <v>46</v>
      </c>
      <c r="B7">
        <v>15.6</v>
      </c>
      <c r="C7">
        <v>28</v>
      </c>
      <c r="D7">
        <f>B7*Training!$G$69 + C7*Training!$H$69 + Training!$I$69</f>
        <v>6.1480000000000059</v>
      </c>
      <c r="E7">
        <f t="shared" si="0"/>
        <v>1</v>
      </c>
      <c r="F7" t="str">
        <f t="shared" si="1"/>
        <v>Obst</v>
      </c>
    </row>
    <row r="8" spans="1:6" x14ac:dyDescent="0.25">
      <c r="A8" t="s">
        <v>47</v>
      </c>
      <c r="B8">
        <v>1.6</v>
      </c>
      <c r="C8">
        <v>21</v>
      </c>
      <c r="D8">
        <f>B8*Training!$G$69 + C8*Training!$H$69 + Training!$I$69</f>
        <v>-23.391999999999996</v>
      </c>
      <c r="E8">
        <f t="shared" si="0"/>
        <v>0</v>
      </c>
      <c r="F8" t="str">
        <f t="shared" si="1"/>
        <v>Gemüse</v>
      </c>
    </row>
    <row r="9" spans="1:6" x14ac:dyDescent="0.25">
      <c r="A9" t="s">
        <v>48</v>
      </c>
      <c r="B9">
        <v>5.0999999999999996</v>
      </c>
      <c r="C9">
        <v>12</v>
      </c>
      <c r="D9">
        <f>B9*Training!$G$69 + C9*Training!$H$69 + Training!$I$69</f>
        <v>-1.6019999999999974</v>
      </c>
      <c r="E9">
        <f t="shared" si="0"/>
        <v>0</v>
      </c>
      <c r="F9" t="str">
        <f t="shared" si="1"/>
        <v>Gemüse</v>
      </c>
    </row>
    <row r="10" spans="1:6" x14ac:dyDescent="0.25">
      <c r="A10" s="8" t="s">
        <v>49</v>
      </c>
      <c r="B10" s="8">
        <v>2.1</v>
      </c>
      <c r="C10" s="8">
        <v>1</v>
      </c>
      <c r="D10" s="8">
        <f>B10*Training!$G$69 + C10*Training!$H$69 + Training!$I$69</f>
        <v>4.7980000000000009</v>
      </c>
      <c r="E10" s="8">
        <f t="shared" si="0"/>
        <v>1</v>
      </c>
      <c r="F10" s="8" t="str">
        <f t="shared" si="1"/>
        <v>Obst</v>
      </c>
    </row>
    <row r="11" spans="1:6" x14ac:dyDescent="0.25">
      <c r="A11" s="8" t="s">
        <v>11</v>
      </c>
      <c r="B11" s="8">
        <v>7.4</v>
      </c>
      <c r="C11" s="8">
        <v>30</v>
      </c>
      <c r="D11" s="8">
        <f>B11*Training!$G$69 + C11*Training!$H$69 + Training!$I$69</f>
        <v>-19.327999999999992</v>
      </c>
      <c r="E11" s="8">
        <f t="shared" si="0"/>
        <v>0</v>
      </c>
      <c r="F11" s="8" t="str">
        <f t="shared" si="1"/>
        <v>Gemüse</v>
      </c>
    </row>
    <row r="12" spans="1:6" x14ac:dyDescent="0.25">
      <c r="D12">
        <f>B12*Training!$G$69 + C12*Training!$H$69 + Training!$I$69</f>
        <v>0.30000000000000004</v>
      </c>
      <c r="E12">
        <f t="shared" si="0"/>
        <v>1</v>
      </c>
      <c r="F12" t="str">
        <f t="shared" si="1"/>
        <v>Obst</v>
      </c>
    </row>
    <row r="13" spans="1:6" x14ac:dyDescent="0.25">
      <c r="D13">
        <f>B13*Training!$G$69 + C13*Training!$H$69 + Training!$I$69</f>
        <v>0.30000000000000004</v>
      </c>
      <c r="E13">
        <f t="shared" si="0"/>
        <v>1</v>
      </c>
      <c r="F13" t="str">
        <f t="shared" si="1"/>
        <v>Obst</v>
      </c>
    </row>
    <row r="14" spans="1:6" x14ac:dyDescent="0.25">
      <c r="D14">
        <f>B14*Training!$G$69 + C14*Training!$H$69 + Training!$I$69</f>
        <v>0.30000000000000004</v>
      </c>
      <c r="E14">
        <f t="shared" si="0"/>
        <v>1</v>
      </c>
      <c r="F14" t="str">
        <f t="shared" si="1"/>
        <v>Obst</v>
      </c>
    </row>
  </sheetData>
  <mergeCells count="1">
    <mergeCell ref="A1:D1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Erklärung</vt:lpstr>
      <vt:lpstr>Rohdaten</vt:lpstr>
      <vt:lpstr>Traningsdaten</vt:lpstr>
      <vt:lpstr>Training</vt:lpstr>
      <vt:lpstr>Anwendung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BBM</cp:lastModifiedBy>
  <dcterms:created xsi:type="dcterms:W3CDTF">2026-04-16T10:02:36Z</dcterms:created>
  <dcterms:modified xsi:type="dcterms:W3CDTF">2026-06-21T18:19:42Z</dcterms:modified>
</cp:coreProperties>
</file>