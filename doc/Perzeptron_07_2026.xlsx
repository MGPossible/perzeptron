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1880"/>
  </bookViews>
  <sheets>
    <sheet name="Erklärung" sheetId="1" r:id="rId1"/>
    <sheet name="Rohdaten" sheetId="6" r:id="rId2"/>
    <sheet name="Visualisierung" sheetId="4" r:id="rId3"/>
    <sheet name="Trainingsdaten" sheetId="7" r:id="rId4"/>
    <sheet name="Training" sheetId="2" r:id="rId5"/>
    <sheet name="Fehlerkurve" sheetId="8" r:id="rId6"/>
    <sheet name="Anwendung" sheetId="5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8" l="1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A3" i="8"/>
  <c r="A4" i="8"/>
  <c r="A5" i="8"/>
  <c r="A6" i="8"/>
  <c r="A7" i="8"/>
  <c r="A2" i="8"/>
  <c r="N2" i="2" l="1"/>
  <c r="H4" i="7" l="1"/>
  <c r="B143" i="2" s="1"/>
  <c r="H3" i="2"/>
  <c r="H2" i="2"/>
  <c r="B436" i="2" l="1"/>
  <c r="N436" i="2" s="1"/>
  <c r="B434" i="2"/>
  <c r="N434" i="2" s="1"/>
  <c r="B348" i="2"/>
  <c r="K348" i="2" s="1"/>
  <c r="B346" i="2"/>
  <c r="E346" i="2" s="1"/>
  <c r="B323" i="2"/>
  <c r="N323" i="2" s="1"/>
  <c r="B233" i="2"/>
  <c r="N233" i="2" s="1"/>
  <c r="B205" i="2"/>
  <c r="A205" i="2" s="1"/>
  <c r="B435" i="2"/>
  <c r="N435" i="2" s="1"/>
  <c r="B349" i="2"/>
  <c r="G349" i="2" s="1"/>
  <c r="B347" i="2"/>
  <c r="G347" i="2" s="1"/>
  <c r="B324" i="2"/>
  <c r="F324" i="2" s="1"/>
  <c r="B322" i="2"/>
  <c r="A322" i="2" s="1"/>
  <c r="B238" i="2"/>
  <c r="N238" i="2" s="1"/>
  <c r="B232" i="2"/>
  <c r="K232" i="2" s="1"/>
  <c r="B231" i="2"/>
  <c r="N231" i="2" s="1"/>
  <c r="B207" i="2"/>
  <c r="A207" i="2" s="1"/>
  <c r="B206" i="2"/>
  <c r="A206" i="2" s="1"/>
  <c r="B75" i="2"/>
  <c r="H75" i="2" s="1"/>
  <c r="A323" i="2"/>
  <c r="G346" i="2"/>
  <c r="N346" i="2"/>
  <c r="E348" i="2"/>
  <c r="N348" i="2"/>
  <c r="F231" i="2"/>
  <c r="B440" i="2"/>
  <c r="L440" i="2" s="1"/>
  <c r="B438" i="2"/>
  <c r="I438" i="2" s="1"/>
  <c r="B73" i="2"/>
  <c r="A73" i="2" s="1"/>
  <c r="B107" i="2"/>
  <c r="H107" i="2" s="1"/>
  <c r="B106" i="2"/>
  <c r="A106" i="2" s="1"/>
  <c r="B105" i="2"/>
  <c r="H105" i="2" s="1"/>
  <c r="B77" i="2"/>
  <c r="A77" i="2" s="1"/>
  <c r="B439" i="2"/>
  <c r="J439" i="2" s="1"/>
  <c r="B437" i="2"/>
  <c r="G437" i="2" s="1"/>
  <c r="B72" i="2"/>
  <c r="A72" i="2" s="1"/>
  <c r="H143" i="2"/>
  <c r="A143" i="2"/>
  <c r="H349" i="2"/>
  <c r="L238" i="2"/>
  <c r="M238" i="2"/>
  <c r="E238" i="2"/>
  <c r="I238" i="2"/>
  <c r="G238" i="2"/>
  <c r="J238" i="2"/>
  <c r="G348" i="2"/>
  <c r="M348" i="2"/>
  <c r="J348" i="2"/>
  <c r="L348" i="2"/>
  <c r="F348" i="2"/>
  <c r="K233" i="2"/>
  <c r="J233" i="2"/>
  <c r="H233" i="2"/>
  <c r="I233" i="2"/>
  <c r="G438" i="2"/>
  <c r="K347" i="2"/>
  <c r="H347" i="2"/>
  <c r="L232" i="2"/>
  <c r="M232" i="2"/>
  <c r="K346" i="2"/>
  <c r="M346" i="2"/>
  <c r="J346" i="2"/>
  <c r="I346" i="2"/>
  <c r="L346" i="2"/>
  <c r="F346" i="2"/>
  <c r="H346" i="2"/>
  <c r="H231" i="2"/>
  <c r="D436" i="2"/>
  <c r="J436" i="2"/>
  <c r="I436" i="2"/>
  <c r="L436" i="2"/>
  <c r="M436" i="2"/>
  <c r="K436" i="2"/>
  <c r="J324" i="2"/>
  <c r="D324" i="2"/>
  <c r="I435" i="2"/>
  <c r="K435" i="2"/>
  <c r="L323" i="2"/>
  <c r="M323" i="2"/>
  <c r="K323" i="2"/>
  <c r="I323" i="2"/>
  <c r="H323" i="2"/>
  <c r="L434" i="2"/>
  <c r="M434" i="2"/>
  <c r="J434" i="2"/>
  <c r="I434" i="2"/>
  <c r="K434" i="2"/>
  <c r="M322" i="2"/>
  <c r="K322" i="2"/>
  <c r="L322" i="2"/>
  <c r="H205" i="2"/>
  <c r="I322" i="2"/>
  <c r="B412" i="2"/>
  <c r="N412" i="2" s="1"/>
  <c r="B321" i="2"/>
  <c r="N321" i="2" s="1"/>
  <c r="B204" i="2"/>
  <c r="B71" i="2"/>
  <c r="A348" i="2"/>
  <c r="G233" i="2"/>
  <c r="B411" i="2"/>
  <c r="N411" i="2" s="1"/>
  <c r="B320" i="2"/>
  <c r="N320" i="2" s="1"/>
  <c r="B203" i="2"/>
  <c r="B42" i="2"/>
  <c r="A42" i="2" s="1"/>
  <c r="A347" i="2"/>
  <c r="D348" i="2"/>
  <c r="G232" i="2"/>
  <c r="B410" i="2"/>
  <c r="N410" i="2" s="1"/>
  <c r="B319" i="2"/>
  <c r="N319" i="2" s="1"/>
  <c r="B202" i="2"/>
  <c r="B40" i="2"/>
  <c r="A40" i="2" s="1"/>
  <c r="A434" i="2"/>
  <c r="G231" i="2"/>
  <c r="B496" i="2"/>
  <c r="N496" i="2" s="1"/>
  <c r="B409" i="2"/>
  <c r="N409" i="2" s="1"/>
  <c r="B296" i="2"/>
  <c r="N296" i="2" s="1"/>
  <c r="B177" i="2"/>
  <c r="B39" i="2"/>
  <c r="A39" i="2" s="1"/>
  <c r="D346" i="2"/>
  <c r="B495" i="2"/>
  <c r="N495" i="2" s="1"/>
  <c r="B408" i="2"/>
  <c r="N408" i="2" s="1"/>
  <c r="B295" i="2"/>
  <c r="N295" i="2" s="1"/>
  <c r="B176" i="2"/>
  <c r="B38" i="2"/>
  <c r="A38" i="2" s="1"/>
  <c r="G324" i="2"/>
  <c r="B494" i="2"/>
  <c r="N494" i="2" s="1"/>
  <c r="B407" i="2"/>
  <c r="N407" i="2" s="1"/>
  <c r="B294" i="2"/>
  <c r="N294" i="2" s="1"/>
  <c r="B175" i="2"/>
  <c r="E324" i="2"/>
  <c r="G323" i="2"/>
  <c r="B493" i="2"/>
  <c r="N493" i="2" s="1"/>
  <c r="B406" i="2"/>
  <c r="N406" i="2" s="1"/>
  <c r="B293" i="2"/>
  <c r="N293" i="2" s="1"/>
  <c r="B174" i="2"/>
  <c r="G322" i="2"/>
  <c r="B492" i="2"/>
  <c r="N492" i="2" s="1"/>
  <c r="B384" i="2"/>
  <c r="N384" i="2" s="1"/>
  <c r="B292" i="2"/>
  <c r="N292" i="2" s="1"/>
  <c r="B173" i="2"/>
  <c r="E322" i="2"/>
  <c r="B491" i="2"/>
  <c r="N491" i="2" s="1"/>
  <c r="B383" i="2"/>
  <c r="N383" i="2" s="1"/>
  <c r="B291" i="2"/>
  <c r="N291" i="2" s="1"/>
  <c r="B172" i="2"/>
  <c r="B490" i="2"/>
  <c r="N490" i="2" s="1"/>
  <c r="B382" i="2"/>
  <c r="N382" i="2" s="1"/>
  <c r="B268" i="2"/>
  <c r="N268" i="2" s="1"/>
  <c r="B147" i="2"/>
  <c r="H147" i="2" s="1"/>
  <c r="B468" i="2"/>
  <c r="N468" i="2" s="1"/>
  <c r="B377" i="2"/>
  <c r="N377" i="2" s="1"/>
  <c r="B267" i="2"/>
  <c r="N267" i="2" s="1"/>
  <c r="B145" i="2"/>
  <c r="F145" i="2" s="1"/>
  <c r="F323" i="2"/>
  <c r="B467" i="2"/>
  <c r="N467" i="2" s="1"/>
  <c r="B376" i="2"/>
  <c r="N376" i="2" s="1"/>
  <c r="B266" i="2"/>
  <c r="N266" i="2" s="1"/>
  <c r="B144" i="2"/>
  <c r="A233" i="2"/>
  <c r="D233" i="2"/>
  <c r="E435" i="2"/>
  <c r="F322" i="2"/>
  <c r="F238" i="2"/>
  <c r="B466" i="2"/>
  <c r="N466" i="2" s="1"/>
  <c r="B375" i="2"/>
  <c r="N375" i="2" s="1"/>
  <c r="B265" i="2"/>
  <c r="N265" i="2" s="1"/>
  <c r="C5" i="2"/>
  <c r="C29" i="2"/>
  <c r="C53" i="2"/>
  <c r="C77" i="2"/>
  <c r="D77" i="2" s="1"/>
  <c r="C101" i="2"/>
  <c r="C125" i="2"/>
  <c r="C149" i="2"/>
  <c r="C173" i="2"/>
  <c r="C197" i="2"/>
  <c r="C221" i="2"/>
  <c r="C245" i="2"/>
  <c r="C269" i="2"/>
  <c r="C293" i="2"/>
  <c r="C317" i="2"/>
  <c r="C341" i="2"/>
  <c r="C365" i="2"/>
  <c r="C389" i="2"/>
  <c r="C413" i="2"/>
  <c r="C437" i="2"/>
  <c r="C461" i="2"/>
  <c r="C485" i="2"/>
  <c r="C6" i="2"/>
  <c r="C30" i="2"/>
  <c r="C54" i="2"/>
  <c r="C78" i="2"/>
  <c r="C102" i="2"/>
  <c r="C126" i="2"/>
  <c r="C150" i="2"/>
  <c r="C174" i="2"/>
  <c r="C198" i="2"/>
  <c r="C222" i="2"/>
  <c r="C246" i="2"/>
  <c r="C270" i="2"/>
  <c r="C7" i="2"/>
  <c r="C31" i="2"/>
  <c r="C55" i="2"/>
  <c r="C79" i="2"/>
  <c r="C103" i="2"/>
  <c r="C127" i="2"/>
  <c r="C151" i="2"/>
  <c r="C175" i="2"/>
  <c r="C199" i="2"/>
  <c r="C223" i="2"/>
  <c r="C247" i="2"/>
  <c r="C271" i="2"/>
  <c r="C295" i="2"/>
  <c r="C319" i="2"/>
  <c r="C343" i="2"/>
  <c r="C367" i="2"/>
  <c r="C391" i="2"/>
  <c r="C415" i="2"/>
  <c r="C439" i="2"/>
  <c r="C463" i="2"/>
  <c r="C487" i="2"/>
  <c r="C8" i="2"/>
  <c r="C32" i="2"/>
  <c r="C56" i="2"/>
  <c r="C80" i="2"/>
  <c r="C104" i="2"/>
  <c r="C128" i="2"/>
  <c r="C152" i="2"/>
  <c r="C176" i="2"/>
  <c r="C200" i="2"/>
  <c r="C224" i="2"/>
  <c r="C248" i="2"/>
  <c r="C272" i="2"/>
  <c r="C296" i="2"/>
  <c r="C320" i="2"/>
  <c r="C344" i="2"/>
  <c r="C368" i="2"/>
  <c r="C392" i="2"/>
  <c r="C416" i="2"/>
  <c r="C440" i="2"/>
  <c r="C464" i="2"/>
  <c r="C488" i="2"/>
  <c r="C9" i="2"/>
  <c r="C33" i="2"/>
  <c r="C57" i="2"/>
  <c r="C81" i="2"/>
  <c r="C105" i="2"/>
  <c r="G105" i="2" s="1"/>
  <c r="C129" i="2"/>
  <c r="C153" i="2"/>
  <c r="C177" i="2"/>
  <c r="C201" i="2"/>
  <c r="C225" i="2"/>
  <c r="C10" i="2"/>
  <c r="C34" i="2"/>
  <c r="C58" i="2"/>
  <c r="C82" i="2"/>
  <c r="C106" i="2"/>
  <c r="C130" i="2"/>
  <c r="C154" i="2"/>
  <c r="C11" i="2"/>
  <c r="C35" i="2"/>
  <c r="C59" i="2"/>
  <c r="C83" i="2"/>
  <c r="C107" i="2"/>
  <c r="E107" i="2" s="1"/>
  <c r="C131" i="2"/>
  <c r="C155" i="2"/>
  <c r="C179" i="2"/>
  <c r="C203" i="2"/>
  <c r="C227" i="2"/>
  <c r="C251" i="2"/>
  <c r="C275" i="2"/>
  <c r="C299" i="2"/>
  <c r="C323" i="2"/>
  <c r="C347" i="2"/>
  <c r="C12" i="2"/>
  <c r="C15" i="2"/>
  <c r="C39" i="2"/>
  <c r="C63" i="2"/>
  <c r="C87" i="2"/>
  <c r="C111" i="2"/>
  <c r="C135" i="2"/>
  <c r="C159" i="2"/>
  <c r="C183" i="2"/>
  <c r="C207" i="2"/>
  <c r="G207" i="2" s="1"/>
  <c r="C231" i="2"/>
  <c r="C255" i="2"/>
  <c r="C279" i="2"/>
  <c r="C16" i="2"/>
  <c r="C40" i="2"/>
  <c r="C64" i="2"/>
  <c r="C88" i="2"/>
  <c r="C112" i="2"/>
  <c r="C136" i="2"/>
  <c r="C160" i="2"/>
  <c r="C184" i="2"/>
  <c r="C208" i="2"/>
  <c r="C17" i="2"/>
  <c r="C18" i="2"/>
  <c r="C13" i="2"/>
  <c r="C50" i="2"/>
  <c r="C92" i="2"/>
  <c r="C132" i="2"/>
  <c r="C167" i="2"/>
  <c r="C205" i="2"/>
  <c r="F205" i="2" s="1"/>
  <c r="C238" i="2"/>
  <c r="C268" i="2"/>
  <c r="C302" i="2"/>
  <c r="C330" i="2"/>
  <c r="C358" i="2"/>
  <c r="C385" i="2"/>
  <c r="C412" i="2"/>
  <c r="C442" i="2"/>
  <c r="C469" i="2"/>
  <c r="C496" i="2"/>
  <c r="C14" i="2"/>
  <c r="C51" i="2"/>
  <c r="G51" i="2" s="1"/>
  <c r="C93" i="2"/>
  <c r="C133" i="2"/>
  <c r="C168" i="2"/>
  <c r="C206" i="2"/>
  <c r="C239" i="2"/>
  <c r="C273" i="2"/>
  <c r="C303" i="2"/>
  <c r="C331" i="2"/>
  <c r="C359" i="2"/>
  <c r="C386" i="2"/>
  <c r="C414" i="2"/>
  <c r="C443" i="2"/>
  <c r="C470" i="2"/>
  <c r="C497" i="2"/>
  <c r="C19" i="2"/>
  <c r="C52" i="2"/>
  <c r="C94" i="2"/>
  <c r="C134" i="2"/>
  <c r="C169" i="2"/>
  <c r="C209" i="2"/>
  <c r="C240" i="2"/>
  <c r="C274" i="2"/>
  <c r="C304" i="2"/>
  <c r="C332" i="2"/>
  <c r="C360" i="2"/>
  <c r="C387" i="2"/>
  <c r="C417" i="2"/>
  <c r="C444" i="2"/>
  <c r="C471" i="2"/>
  <c r="C498" i="2"/>
  <c r="C20" i="2"/>
  <c r="C60" i="2"/>
  <c r="C95" i="2"/>
  <c r="C137" i="2"/>
  <c r="C170" i="2"/>
  <c r="C210" i="2"/>
  <c r="C241" i="2"/>
  <c r="C276" i="2"/>
  <c r="C305" i="2"/>
  <c r="C333" i="2"/>
  <c r="C361" i="2"/>
  <c r="C388" i="2"/>
  <c r="C418" i="2"/>
  <c r="C445" i="2"/>
  <c r="C472" i="2"/>
  <c r="C499" i="2"/>
  <c r="C21" i="2"/>
  <c r="C61" i="2"/>
  <c r="C96" i="2"/>
  <c r="C138" i="2"/>
  <c r="C171" i="2"/>
  <c r="C211" i="2"/>
  <c r="C242" i="2"/>
  <c r="C277" i="2"/>
  <c r="C306" i="2"/>
  <c r="C334" i="2"/>
  <c r="C362" i="2"/>
  <c r="C390" i="2"/>
  <c r="C419" i="2"/>
  <c r="C446" i="2"/>
  <c r="C473" i="2"/>
  <c r="C500" i="2"/>
  <c r="C22" i="2"/>
  <c r="C62" i="2"/>
  <c r="C97" i="2"/>
  <c r="C139" i="2"/>
  <c r="C172" i="2"/>
  <c r="C212" i="2"/>
  <c r="C243" i="2"/>
  <c r="C278" i="2"/>
  <c r="C307" i="2"/>
  <c r="C335" i="2"/>
  <c r="C363" i="2"/>
  <c r="C393" i="2"/>
  <c r="C420" i="2"/>
  <c r="C447" i="2"/>
  <c r="C474" i="2"/>
  <c r="C4" i="2"/>
  <c r="C23" i="2"/>
  <c r="C65" i="2"/>
  <c r="C98" i="2"/>
  <c r="C140" i="2"/>
  <c r="C178" i="2"/>
  <c r="C213" i="2"/>
  <c r="C244" i="2"/>
  <c r="C280" i="2"/>
  <c r="C308" i="2"/>
  <c r="C336" i="2"/>
  <c r="C364" i="2"/>
  <c r="C394" i="2"/>
  <c r="C421" i="2"/>
  <c r="C448" i="2"/>
  <c r="C475" i="2"/>
  <c r="C24" i="2"/>
  <c r="C66" i="2"/>
  <c r="C99" i="2"/>
  <c r="C141" i="2"/>
  <c r="C180" i="2"/>
  <c r="C214" i="2"/>
  <c r="C249" i="2"/>
  <c r="C281" i="2"/>
  <c r="C309" i="2"/>
  <c r="C337" i="2"/>
  <c r="C366" i="2"/>
  <c r="C395" i="2"/>
  <c r="C422" i="2"/>
  <c r="C449" i="2"/>
  <c r="C476" i="2"/>
  <c r="C25" i="2"/>
  <c r="C67" i="2"/>
  <c r="C100" i="2"/>
  <c r="C142" i="2"/>
  <c r="C181" i="2"/>
  <c r="C215" i="2"/>
  <c r="C250" i="2"/>
  <c r="C282" i="2"/>
  <c r="C310" i="2"/>
  <c r="C338" i="2"/>
  <c r="C369" i="2"/>
  <c r="C396" i="2"/>
  <c r="C423" i="2"/>
  <c r="C450" i="2"/>
  <c r="C477" i="2"/>
  <c r="C26" i="2"/>
  <c r="C68" i="2"/>
  <c r="C108" i="2"/>
  <c r="C143" i="2"/>
  <c r="D143" i="2" s="1"/>
  <c r="C182" i="2"/>
  <c r="C216" i="2"/>
  <c r="C252" i="2"/>
  <c r="C283" i="2"/>
  <c r="C311" i="2"/>
  <c r="C339" i="2"/>
  <c r="C370" i="2"/>
  <c r="C397" i="2"/>
  <c r="C424" i="2"/>
  <c r="C451" i="2"/>
  <c r="C478" i="2"/>
  <c r="C27" i="2"/>
  <c r="C69" i="2"/>
  <c r="C109" i="2"/>
  <c r="C144" i="2"/>
  <c r="C185" i="2"/>
  <c r="C217" i="2"/>
  <c r="C253" i="2"/>
  <c r="C284" i="2"/>
  <c r="C312" i="2"/>
  <c r="C340" i="2"/>
  <c r="C371" i="2"/>
  <c r="C398" i="2"/>
  <c r="C425" i="2"/>
  <c r="C452" i="2"/>
  <c r="C479" i="2"/>
  <c r="C28" i="2"/>
  <c r="C70" i="2"/>
  <c r="C110" i="2"/>
  <c r="C145" i="2"/>
  <c r="C186" i="2"/>
  <c r="C218" i="2"/>
  <c r="C254" i="2"/>
  <c r="C285" i="2"/>
  <c r="C313" i="2"/>
  <c r="C342" i="2"/>
  <c r="C372" i="2"/>
  <c r="C399" i="2"/>
  <c r="C426" i="2"/>
  <c r="C453" i="2"/>
  <c r="C480" i="2"/>
  <c r="C36" i="2"/>
  <c r="C71" i="2"/>
  <c r="C113" i="2"/>
  <c r="C146" i="2"/>
  <c r="C187" i="2"/>
  <c r="C219" i="2"/>
  <c r="C256" i="2"/>
  <c r="C286" i="2"/>
  <c r="C314" i="2"/>
  <c r="C345" i="2"/>
  <c r="C373" i="2"/>
  <c r="C37" i="2"/>
  <c r="C72" i="2"/>
  <c r="C114" i="2"/>
  <c r="C147" i="2"/>
  <c r="C188" i="2"/>
  <c r="C220" i="2"/>
  <c r="C257" i="2"/>
  <c r="C38" i="2"/>
  <c r="C41" i="2"/>
  <c r="C42" i="2"/>
  <c r="C121" i="2"/>
  <c r="C226" i="2"/>
  <c r="C291" i="2"/>
  <c r="C353" i="2"/>
  <c r="C408" i="2"/>
  <c r="C465" i="2"/>
  <c r="B26" i="2"/>
  <c r="A26" i="2" s="1"/>
  <c r="B50" i="2"/>
  <c r="A50" i="2" s="1"/>
  <c r="B74" i="2"/>
  <c r="A74" i="2" s="1"/>
  <c r="B98" i="2"/>
  <c r="F98" i="2" s="1"/>
  <c r="B122" i="2"/>
  <c r="B146" i="2"/>
  <c r="B170" i="2"/>
  <c r="B194" i="2"/>
  <c r="C43" i="2"/>
  <c r="C122" i="2"/>
  <c r="C228" i="2"/>
  <c r="C292" i="2"/>
  <c r="C354" i="2"/>
  <c r="C409" i="2"/>
  <c r="C466" i="2"/>
  <c r="B27" i="2"/>
  <c r="B51" i="2"/>
  <c r="C44" i="2"/>
  <c r="C123" i="2"/>
  <c r="C229" i="2"/>
  <c r="C294" i="2"/>
  <c r="C355" i="2"/>
  <c r="C410" i="2"/>
  <c r="C467" i="2"/>
  <c r="B28" i="2"/>
  <c r="A28" i="2" s="1"/>
  <c r="B52" i="2"/>
  <c r="A52" i="2" s="1"/>
  <c r="B76" i="2"/>
  <c r="A76" i="2" s="1"/>
  <c r="B100" i="2"/>
  <c r="A100" i="2" s="1"/>
  <c r="B124" i="2"/>
  <c r="C45" i="2"/>
  <c r="C124" i="2"/>
  <c r="C230" i="2"/>
  <c r="C297" i="2"/>
  <c r="C356" i="2"/>
  <c r="C411" i="2"/>
  <c r="C468" i="2"/>
  <c r="B5" i="2"/>
  <c r="A5" i="2" s="1"/>
  <c r="C46" i="2"/>
  <c r="C148" i="2"/>
  <c r="C232" i="2"/>
  <c r="C298" i="2"/>
  <c r="C357" i="2"/>
  <c r="C427" i="2"/>
  <c r="C481" i="2"/>
  <c r="C47" i="2"/>
  <c r="C156" i="2"/>
  <c r="C233" i="2"/>
  <c r="C300" i="2"/>
  <c r="C374" i="2"/>
  <c r="C428" i="2"/>
  <c r="C482" i="2"/>
  <c r="C48" i="2"/>
  <c r="C157" i="2"/>
  <c r="C234" i="2"/>
  <c r="C301" i="2"/>
  <c r="C375" i="2"/>
  <c r="C429" i="2"/>
  <c r="C483" i="2"/>
  <c r="C49" i="2"/>
  <c r="C158" i="2"/>
  <c r="C235" i="2"/>
  <c r="C315" i="2"/>
  <c r="C376" i="2"/>
  <c r="C430" i="2"/>
  <c r="C484" i="2"/>
  <c r="C73" i="2"/>
  <c r="C161" i="2"/>
  <c r="C236" i="2"/>
  <c r="C316" i="2"/>
  <c r="C377" i="2"/>
  <c r="C431" i="2"/>
  <c r="C486" i="2"/>
  <c r="C74" i="2"/>
  <c r="C162" i="2"/>
  <c r="C237" i="2"/>
  <c r="C318" i="2"/>
  <c r="C378" i="2"/>
  <c r="C432" i="2"/>
  <c r="C489" i="2"/>
  <c r="C75" i="2"/>
  <c r="C163" i="2"/>
  <c r="C258" i="2"/>
  <c r="C321" i="2"/>
  <c r="C379" i="2"/>
  <c r="C433" i="2"/>
  <c r="C490" i="2"/>
  <c r="C76" i="2"/>
  <c r="C164" i="2"/>
  <c r="C259" i="2"/>
  <c r="C322" i="2"/>
  <c r="C380" i="2"/>
  <c r="C434" i="2"/>
  <c r="C491" i="2"/>
  <c r="C84" i="2"/>
  <c r="C165" i="2"/>
  <c r="C260" i="2"/>
  <c r="C324" i="2"/>
  <c r="C381" i="2"/>
  <c r="C435" i="2"/>
  <c r="C492" i="2"/>
  <c r="C85" i="2"/>
  <c r="C166" i="2"/>
  <c r="C261" i="2"/>
  <c r="C325" i="2"/>
  <c r="C382" i="2"/>
  <c r="C436" i="2"/>
  <c r="C493" i="2"/>
  <c r="C86" i="2"/>
  <c r="C189" i="2"/>
  <c r="C262" i="2"/>
  <c r="C326" i="2"/>
  <c r="C383" i="2"/>
  <c r="C438" i="2"/>
  <c r="C494" i="2"/>
  <c r="C89" i="2"/>
  <c r="C190" i="2"/>
  <c r="C263" i="2"/>
  <c r="C327" i="2"/>
  <c r="C384" i="2"/>
  <c r="C441" i="2"/>
  <c r="C495" i="2"/>
  <c r="C90" i="2"/>
  <c r="C191" i="2"/>
  <c r="C264" i="2"/>
  <c r="C91" i="2"/>
  <c r="C115" i="2"/>
  <c r="C349" i="2"/>
  <c r="B30" i="2"/>
  <c r="A30" i="2" s="1"/>
  <c r="B57" i="2"/>
  <c r="D57" i="2" s="1"/>
  <c r="B83" i="2"/>
  <c r="F83" i="2" s="1"/>
  <c r="B109" i="2"/>
  <c r="B135" i="2"/>
  <c r="B160" i="2"/>
  <c r="B185" i="2"/>
  <c r="B210" i="2"/>
  <c r="B234" i="2"/>
  <c r="N234" i="2" s="1"/>
  <c r="B258" i="2"/>
  <c r="N258" i="2" s="1"/>
  <c r="B282" i="2"/>
  <c r="N282" i="2" s="1"/>
  <c r="B306" i="2"/>
  <c r="N306" i="2" s="1"/>
  <c r="B330" i="2"/>
  <c r="N330" i="2" s="1"/>
  <c r="B354" i="2"/>
  <c r="N354" i="2" s="1"/>
  <c r="B378" i="2"/>
  <c r="N378" i="2" s="1"/>
  <c r="B402" i="2"/>
  <c r="N402" i="2" s="1"/>
  <c r="B426" i="2"/>
  <c r="N426" i="2" s="1"/>
  <c r="B450" i="2"/>
  <c r="N450" i="2" s="1"/>
  <c r="B474" i="2"/>
  <c r="N474" i="2" s="1"/>
  <c r="B498" i="2"/>
  <c r="N498" i="2" s="1"/>
  <c r="C116" i="2"/>
  <c r="C350" i="2"/>
  <c r="B31" i="2"/>
  <c r="A31" i="2" s="1"/>
  <c r="B58" i="2"/>
  <c r="D58" i="2" s="1"/>
  <c r="B84" i="2"/>
  <c r="H84" i="2" s="1"/>
  <c r="B110" i="2"/>
  <c r="B136" i="2"/>
  <c r="B161" i="2"/>
  <c r="B186" i="2"/>
  <c r="B211" i="2"/>
  <c r="B235" i="2"/>
  <c r="N235" i="2" s="1"/>
  <c r="B259" i="2"/>
  <c r="N259" i="2" s="1"/>
  <c r="B283" i="2"/>
  <c r="N283" i="2" s="1"/>
  <c r="B307" i="2"/>
  <c r="N307" i="2" s="1"/>
  <c r="B331" i="2"/>
  <c r="N331" i="2" s="1"/>
  <c r="B355" i="2"/>
  <c r="N355" i="2" s="1"/>
  <c r="B379" i="2"/>
  <c r="N379" i="2" s="1"/>
  <c r="B403" i="2"/>
  <c r="B427" i="2"/>
  <c r="N427" i="2" s="1"/>
  <c r="B451" i="2"/>
  <c r="N451" i="2" s="1"/>
  <c r="B475" i="2"/>
  <c r="N475" i="2" s="1"/>
  <c r="B499" i="2"/>
  <c r="N499" i="2" s="1"/>
  <c r="C117" i="2"/>
  <c r="C351" i="2"/>
  <c r="B32" i="2"/>
  <c r="G32" i="2" s="1"/>
  <c r="B59" i="2"/>
  <c r="F59" i="2" s="1"/>
  <c r="B85" i="2"/>
  <c r="B111" i="2"/>
  <c r="B137" i="2"/>
  <c r="B162" i="2"/>
  <c r="B187" i="2"/>
  <c r="B212" i="2"/>
  <c r="B236" i="2"/>
  <c r="N236" i="2" s="1"/>
  <c r="B260" i="2"/>
  <c r="N260" i="2" s="1"/>
  <c r="B284" i="2"/>
  <c r="N284" i="2" s="1"/>
  <c r="B308" i="2"/>
  <c r="N308" i="2" s="1"/>
  <c r="B332" i="2"/>
  <c r="N332" i="2" s="1"/>
  <c r="B356" i="2"/>
  <c r="N356" i="2" s="1"/>
  <c r="B380" i="2"/>
  <c r="N380" i="2" s="1"/>
  <c r="B404" i="2"/>
  <c r="N404" i="2" s="1"/>
  <c r="B428" i="2"/>
  <c r="N428" i="2" s="1"/>
  <c r="B452" i="2"/>
  <c r="N452" i="2" s="1"/>
  <c r="B476" i="2"/>
  <c r="N476" i="2" s="1"/>
  <c r="B500" i="2"/>
  <c r="N500" i="2" s="1"/>
  <c r="C118" i="2"/>
  <c r="C352" i="2"/>
  <c r="B6" i="2"/>
  <c r="A6" i="2" s="1"/>
  <c r="B33" i="2"/>
  <c r="H33" i="2" s="1"/>
  <c r="B60" i="2"/>
  <c r="G60" i="2" s="1"/>
  <c r="B86" i="2"/>
  <c r="H86" i="2" s="1"/>
  <c r="B112" i="2"/>
  <c r="B138" i="2"/>
  <c r="B163" i="2"/>
  <c r="B188" i="2"/>
  <c r="B213" i="2"/>
  <c r="B237" i="2"/>
  <c r="N237" i="2" s="1"/>
  <c r="B261" i="2"/>
  <c r="N261" i="2" s="1"/>
  <c r="B285" i="2"/>
  <c r="N285" i="2" s="1"/>
  <c r="B309" i="2"/>
  <c r="N309" i="2" s="1"/>
  <c r="B333" i="2"/>
  <c r="N333" i="2" s="1"/>
  <c r="B357" i="2"/>
  <c r="N357" i="2" s="1"/>
  <c r="B381" i="2"/>
  <c r="N381" i="2" s="1"/>
  <c r="B405" i="2"/>
  <c r="N405" i="2" s="1"/>
  <c r="B429" i="2"/>
  <c r="N429" i="2" s="1"/>
  <c r="B453" i="2"/>
  <c r="N453" i="2" s="1"/>
  <c r="B477" i="2"/>
  <c r="N477" i="2" s="1"/>
  <c r="B4" i="2"/>
  <c r="C119" i="2"/>
  <c r="C400" i="2"/>
  <c r="B7" i="2"/>
  <c r="A7" i="2" s="1"/>
  <c r="B34" i="2"/>
  <c r="G34" i="2" s="1"/>
  <c r="B61" i="2"/>
  <c r="H61" i="2" s="1"/>
  <c r="B87" i="2"/>
  <c r="G87" i="2" s="1"/>
  <c r="B113" i="2"/>
  <c r="B139" i="2"/>
  <c r="B164" i="2"/>
  <c r="B189" i="2"/>
  <c r="B214" i="2"/>
  <c r="C120" i="2"/>
  <c r="C401" i="2"/>
  <c r="C192" i="2"/>
  <c r="C402" i="2"/>
  <c r="C193" i="2"/>
  <c r="C403" i="2"/>
  <c r="C194" i="2"/>
  <c r="C404" i="2"/>
  <c r="C195" i="2"/>
  <c r="C405" i="2"/>
  <c r="C196" i="2"/>
  <c r="C406" i="2"/>
  <c r="C202" i="2"/>
  <c r="C407" i="2"/>
  <c r="B14" i="2"/>
  <c r="A14" i="2" s="1"/>
  <c r="B41" i="2"/>
  <c r="A41" i="2" s="1"/>
  <c r="B68" i="2"/>
  <c r="G68" i="2" s="1"/>
  <c r="B94" i="2"/>
  <c r="B120" i="2"/>
  <c r="C204" i="2"/>
  <c r="C454" i="2"/>
  <c r="B15" i="2"/>
  <c r="A15" i="2" s="1"/>
  <c r="C265" i="2"/>
  <c r="C455" i="2"/>
  <c r="C266" i="2"/>
  <c r="C456" i="2"/>
  <c r="C267" i="2"/>
  <c r="C457" i="2"/>
  <c r="C287" i="2"/>
  <c r="C458" i="2"/>
  <c r="C288" i="2"/>
  <c r="C459" i="2"/>
  <c r="C289" i="2"/>
  <c r="C460" i="2"/>
  <c r="C290" i="2"/>
  <c r="C462" i="2"/>
  <c r="C328" i="2"/>
  <c r="B8" i="2"/>
  <c r="D8" i="2" s="1"/>
  <c r="B43" i="2"/>
  <c r="A43" i="2" s="1"/>
  <c r="B78" i="2"/>
  <c r="F78" i="2" s="1"/>
  <c r="B115" i="2"/>
  <c r="B148" i="2"/>
  <c r="F148" i="2" s="1"/>
  <c r="B178" i="2"/>
  <c r="B208" i="2"/>
  <c r="B241" i="2"/>
  <c r="B269" i="2"/>
  <c r="N269" i="2" s="1"/>
  <c r="B297" i="2"/>
  <c r="N297" i="2" s="1"/>
  <c r="B325" i="2"/>
  <c r="N325" i="2" s="1"/>
  <c r="B353" i="2"/>
  <c r="N353" i="2" s="1"/>
  <c r="B385" i="2"/>
  <c r="B413" i="2"/>
  <c r="N413" i="2" s="1"/>
  <c r="B441" i="2"/>
  <c r="N441" i="2" s="1"/>
  <c r="B469" i="2"/>
  <c r="N469" i="2" s="1"/>
  <c r="B497" i="2"/>
  <c r="N497" i="2" s="1"/>
  <c r="C329" i="2"/>
  <c r="B9" i="2"/>
  <c r="B44" i="2"/>
  <c r="A44" i="2" s="1"/>
  <c r="B79" i="2"/>
  <c r="H79" i="2" s="1"/>
  <c r="B116" i="2"/>
  <c r="B149" i="2"/>
  <c r="B179" i="2"/>
  <c r="B209" i="2"/>
  <c r="B242" i="2"/>
  <c r="N242" i="2" s="1"/>
  <c r="B270" i="2"/>
  <c r="N270" i="2" s="1"/>
  <c r="B298" i="2"/>
  <c r="N298" i="2" s="1"/>
  <c r="B326" i="2"/>
  <c r="N326" i="2" s="1"/>
  <c r="B358" i="2"/>
  <c r="N358" i="2" s="1"/>
  <c r="B386" i="2"/>
  <c r="N386" i="2" s="1"/>
  <c r="B414" i="2"/>
  <c r="N414" i="2" s="1"/>
  <c r="B442" i="2"/>
  <c r="N442" i="2" s="1"/>
  <c r="B470" i="2"/>
  <c r="N470" i="2" s="1"/>
  <c r="C346" i="2"/>
  <c r="B10" i="2"/>
  <c r="H10" i="2" s="1"/>
  <c r="B45" i="2"/>
  <c r="E45" i="2" s="1"/>
  <c r="B80" i="2"/>
  <c r="D80" i="2" s="1"/>
  <c r="B117" i="2"/>
  <c r="B150" i="2"/>
  <c r="B180" i="2"/>
  <c r="B215" i="2"/>
  <c r="B243" i="2"/>
  <c r="B271" i="2"/>
  <c r="N271" i="2" s="1"/>
  <c r="B299" i="2"/>
  <c r="N299" i="2" s="1"/>
  <c r="B327" i="2"/>
  <c r="N327" i="2" s="1"/>
  <c r="B359" i="2"/>
  <c r="B387" i="2"/>
  <c r="N387" i="2" s="1"/>
  <c r="B415" i="2"/>
  <c r="N415" i="2" s="1"/>
  <c r="B443" i="2"/>
  <c r="N443" i="2" s="1"/>
  <c r="B471" i="2"/>
  <c r="N471" i="2" s="1"/>
  <c r="C348" i="2"/>
  <c r="B11" i="2"/>
  <c r="H11" i="2" s="1"/>
  <c r="B46" i="2"/>
  <c r="B81" i="2"/>
  <c r="G81" i="2" s="1"/>
  <c r="B118" i="2"/>
  <c r="B151" i="2"/>
  <c r="B181" i="2"/>
  <c r="B216" i="2"/>
  <c r="D216" i="2" s="1"/>
  <c r="B244" i="2"/>
  <c r="B272" i="2"/>
  <c r="N272" i="2" s="1"/>
  <c r="B300" i="2"/>
  <c r="N300" i="2" s="1"/>
  <c r="B328" i="2"/>
  <c r="N328" i="2" s="1"/>
  <c r="B360" i="2"/>
  <c r="N360" i="2" s="1"/>
  <c r="B388" i="2"/>
  <c r="N388" i="2" s="1"/>
  <c r="B416" i="2"/>
  <c r="N416" i="2" s="1"/>
  <c r="B444" i="2"/>
  <c r="N444" i="2" s="1"/>
  <c r="B472" i="2"/>
  <c r="N472" i="2" s="1"/>
  <c r="B12" i="2"/>
  <c r="A12" i="2" s="1"/>
  <c r="B47" i="2"/>
  <c r="B82" i="2"/>
  <c r="H82" i="2" s="1"/>
  <c r="B119" i="2"/>
  <c r="B152" i="2"/>
  <c r="B182" i="2"/>
  <c r="B217" i="2"/>
  <c r="F217" i="2" s="1"/>
  <c r="B245" i="2"/>
  <c r="N245" i="2" s="1"/>
  <c r="B273" i="2"/>
  <c r="N273" i="2" s="1"/>
  <c r="B301" i="2"/>
  <c r="N301" i="2" s="1"/>
  <c r="B329" i="2"/>
  <c r="N329" i="2" s="1"/>
  <c r="B361" i="2"/>
  <c r="F361" i="2" s="1"/>
  <c r="B389" i="2"/>
  <c r="N389" i="2" s="1"/>
  <c r="B417" i="2"/>
  <c r="N417" i="2" s="1"/>
  <c r="B445" i="2"/>
  <c r="N445" i="2" s="1"/>
  <c r="B473" i="2"/>
  <c r="N473" i="2" s="1"/>
  <c r="B13" i="2"/>
  <c r="A13" i="2" s="1"/>
  <c r="B48" i="2"/>
  <c r="G48" i="2" s="1"/>
  <c r="B88" i="2"/>
  <c r="F88" i="2" s="1"/>
  <c r="B121" i="2"/>
  <c r="B153" i="2"/>
  <c r="B183" i="2"/>
  <c r="B218" i="2"/>
  <c r="G218" i="2" s="1"/>
  <c r="B246" i="2"/>
  <c r="N246" i="2" s="1"/>
  <c r="B274" i="2"/>
  <c r="N274" i="2" s="1"/>
  <c r="B302" i="2"/>
  <c r="N302" i="2" s="1"/>
  <c r="B334" i="2"/>
  <c r="N334" i="2" s="1"/>
  <c r="B362" i="2"/>
  <c r="E362" i="2" s="1"/>
  <c r="B390" i="2"/>
  <c r="N390" i="2" s="1"/>
  <c r="B418" i="2"/>
  <c r="N418" i="2" s="1"/>
  <c r="B446" i="2"/>
  <c r="F446" i="2" s="1"/>
  <c r="B478" i="2"/>
  <c r="N478" i="2" s="1"/>
  <c r="B16" i="2"/>
  <c r="H16" i="2" s="1"/>
  <c r="B49" i="2"/>
  <c r="H49" i="2" s="1"/>
  <c r="B89" i="2"/>
  <c r="B123" i="2"/>
  <c r="H123" i="2" s="1"/>
  <c r="B154" i="2"/>
  <c r="B184" i="2"/>
  <c r="B219" i="2"/>
  <c r="H219" i="2" s="1"/>
  <c r="B247" i="2"/>
  <c r="N247" i="2" s="1"/>
  <c r="B275" i="2"/>
  <c r="N275" i="2" s="1"/>
  <c r="B303" i="2"/>
  <c r="N303" i="2" s="1"/>
  <c r="B335" i="2"/>
  <c r="N335" i="2" s="1"/>
  <c r="B363" i="2"/>
  <c r="N363" i="2" s="1"/>
  <c r="B391" i="2"/>
  <c r="N391" i="2" s="1"/>
  <c r="B419" i="2"/>
  <c r="N419" i="2" s="1"/>
  <c r="B447" i="2"/>
  <c r="N447" i="2" s="1"/>
  <c r="B479" i="2"/>
  <c r="N479" i="2" s="1"/>
  <c r="B17" i="2"/>
  <c r="B53" i="2"/>
  <c r="H53" i="2" s="1"/>
  <c r="B90" i="2"/>
  <c r="E90" i="2" s="1"/>
  <c r="B125" i="2"/>
  <c r="B155" i="2"/>
  <c r="B190" i="2"/>
  <c r="B220" i="2"/>
  <c r="F220" i="2" s="1"/>
  <c r="B248" i="2"/>
  <c r="N248" i="2" s="1"/>
  <c r="B276" i="2"/>
  <c r="N276" i="2" s="1"/>
  <c r="B304" i="2"/>
  <c r="N304" i="2" s="1"/>
  <c r="B336" i="2"/>
  <c r="N336" i="2" s="1"/>
  <c r="B364" i="2"/>
  <c r="E364" i="2" s="1"/>
  <c r="B392" i="2"/>
  <c r="N392" i="2" s="1"/>
  <c r="B420" i="2"/>
  <c r="N420" i="2" s="1"/>
  <c r="B448" i="2"/>
  <c r="N448" i="2" s="1"/>
  <c r="B480" i="2"/>
  <c r="B18" i="2"/>
  <c r="A18" i="2" s="1"/>
  <c r="B54" i="2"/>
  <c r="H54" i="2" s="1"/>
  <c r="B91" i="2"/>
  <c r="D91" i="2" s="1"/>
  <c r="B126" i="2"/>
  <c r="B156" i="2"/>
  <c r="B191" i="2"/>
  <c r="B221" i="2"/>
  <c r="B249" i="2"/>
  <c r="N249" i="2" s="1"/>
  <c r="B277" i="2"/>
  <c r="N277" i="2" s="1"/>
  <c r="B305" i="2"/>
  <c r="N305" i="2" s="1"/>
  <c r="B337" i="2"/>
  <c r="B365" i="2"/>
  <c r="N365" i="2" s="1"/>
  <c r="B393" i="2"/>
  <c r="N393" i="2" s="1"/>
  <c r="B421" i="2"/>
  <c r="N421" i="2" s="1"/>
  <c r="B449" i="2"/>
  <c r="N449" i="2" s="1"/>
  <c r="B481" i="2"/>
  <c r="N481" i="2" s="1"/>
  <c r="B19" i="2"/>
  <c r="A19" i="2" s="1"/>
  <c r="B55" i="2"/>
  <c r="H55" i="2" s="1"/>
  <c r="B92" i="2"/>
  <c r="B127" i="2"/>
  <c r="B157" i="2"/>
  <c r="B192" i="2"/>
  <c r="E192" i="2" s="1"/>
  <c r="B222" i="2"/>
  <c r="B250" i="2"/>
  <c r="N250" i="2" s="1"/>
  <c r="B278" i="2"/>
  <c r="N278" i="2" s="1"/>
  <c r="B310" i="2"/>
  <c r="N310" i="2" s="1"/>
  <c r="B338" i="2"/>
  <c r="N338" i="2" s="1"/>
  <c r="B366" i="2"/>
  <c r="N366" i="2" s="1"/>
  <c r="B394" i="2"/>
  <c r="N394" i="2" s="1"/>
  <c r="B422" i="2"/>
  <c r="N422" i="2" s="1"/>
  <c r="B454" i="2"/>
  <c r="B482" i="2"/>
  <c r="G482" i="2" s="1"/>
  <c r="B20" i="2"/>
  <c r="A20" i="2" s="1"/>
  <c r="B56" i="2"/>
  <c r="D56" i="2" s="1"/>
  <c r="B93" i="2"/>
  <c r="B128" i="2"/>
  <c r="B158" i="2"/>
  <c r="B193" i="2"/>
  <c r="B223" i="2"/>
  <c r="B251" i="2"/>
  <c r="N251" i="2" s="1"/>
  <c r="B279" i="2"/>
  <c r="N279" i="2" s="1"/>
  <c r="B311" i="2"/>
  <c r="N311" i="2" s="1"/>
  <c r="B339" i="2"/>
  <c r="G339" i="2" s="1"/>
  <c r="B367" i="2"/>
  <c r="N367" i="2" s="1"/>
  <c r="B395" i="2"/>
  <c r="N395" i="2" s="1"/>
  <c r="B423" i="2"/>
  <c r="N423" i="2" s="1"/>
  <c r="B455" i="2"/>
  <c r="N455" i="2" s="1"/>
  <c r="B483" i="2"/>
  <c r="H483" i="2" s="1"/>
  <c r="B21" i="2"/>
  <c r="A21" i="2" s="1"/>
  <c r="B62" i="2"/>
  <c r="B95" i="2"/>
  <c r="B129" i="2"/>
  <c r="B159" i="2"/>
  <c r="B195" i="2"/>
  <c r="H195" i="2" s="1"/>
  <c r="B224" i="2"/>
  <c r="N224" i="2" s="1"/>
  <c r="B252" i="2"/>
  <c r="N252" i="2" s="1"/>
  <c r="B280" i="2"/>
  <c r="N280" i="2" s="1"/>
  <c r="B312" i="2"/>
  <c r="B340" i="2"/>
  <c r="D340" i="2" s="1"/>
  <c r="B368" i="2"/>
  <c r="N368" i="2" s="1"/>
  <c r="B396" i="2"/>
  <c r="N396" i="2" s="1"/>
  <c r="B424" i="2"/>
  <c r="N424" i="2" s="1"/>
  <c r="B456" i="2"/>
  <c r="G456" i="2" s="1"/>
  <c r="B484" i="2"/>
  <c r="N484" i="2" s="1"/>
  <c r="B22" i="2"/>
  <c r="B63" i="2"/>
  <c r="G63" i="2" s="1"/>
  <c r="B96" i="2"/>
  <c r="D96" i="2" s="1"/>
  <c r="B130" i="2"/>
  <c r="B165" i="2"/>
  <c r="B196" i="2"/>
  <c r="H196" i="2" s="1"/>
  <c r="B225" i="2"/>
  <c r="N225" i="2" s="1"/>
  <c r="B253" i="2"/>
  <c r="N253" i="2" s="1"/>
  <c r="B281" i="2"/>
  <c r="N281" i="2" s="1"/>
  <c r="B313" i="2"/>
  <c r="B341" i="2"/>
  <c r="N341" i="2" s="1"/>
  <c r="B369" i="2"/>
  <c r="N369" i="2" s="1"/>
  <c r="B397" i="2"/>
  <c r="N397" i="2" s="1"/>
  <c r="B425" i="2"/>
  <c r="N425" i="2" s="1"/>
  <c r="B457" i="2"/>
  <c r="E457" i="2" s="1"/>
  <c r="B485" i="2"/>
  <c r="N485" i="2" s="1"/>
  <c r="B23" i="2"/>
  <c r="B64" i="2"/>
  <c r="H64" i="2" s="1"/>
  <c r="B97" i="2"/>
  <c r="B131" i="2"/>
  <c r="B166" i="2"/>
  <c r="B197" i="2"/>
  <c r="B226" i="2"/>
  <c r="N226" i="2" s="1"/>
  <c r="B254" i="2"/>
  <c r="N254" i="2" s="1"/>
  <c r="B286" i="2"/>
  <c r="N286" i="2" s="1"/>
  <c r="B314" i="2"/>
  <c r="F314" i="2" s="1"/>
  <c r="B342" i="2"/>
  <c r="N342" i="2" s="1"/>
  <c r="B370" i="2"/>
  <c r="N370" i="2" s="1"/>
  <c r="B398" i="2"/>
  <c r="N398" i="2" s="1"/>
  <c r="B430" i="2"/>
  <c r="B458" i="2"/>
  <c r="B486" i="2"/>
  <c r="N486" i="2" s="1"/>
  <c r="B24" i="2"/>
  <c r="H24" i="2" s="1"/>
  <c r="B65" i="2"/>
  <c r="F65" i="2" s="1"/>
  <c r="B99" i="2"/>
  <c r="B132" i="2"/>
  <c r="B167" i="2"/>
  <c r="B198" i="2"/>
  <c r="B227" i="2"/>
  <c r="N227" i="2" s="1"/>
  <c r="B255" i="2"/>
  <c r="N255" i="2" s="1"/>
  <c r="B287" i="2"/>
  <c r="N287" i="2" s="1"/>
  <c r="B315" i="2"/>
  <c r="N315" i="2" s="1"/>
  <c r="B343" i="2"/>
  <c r="N343" i="2" s="1"/>
  <c r="B371" i="2"/>
  <c r="N371" i="2" s="1"/>
  <c r="B399" i="2"/>
  <c r="N399" i="2" s="1"/>
  <c r="B431" i="2"/>
  <c r="N431" i="2" s="1"/>
  <c r="B459" i="2"/>
  <c r="E459" i="2" s="1"/>
  <c r="B487" i="2"/>
  <c r="N487" i="2" s="1"/>
  <c r="B25" i="2"/>
  <c r="H25" i="2" s="1"/>
  <c r="B66" i="2"/>
  <c r="B101" i="2"/>
  <c r="B133" i="2"/>
  <c r="B168" i="2"/>
  <c r="B199" i="2"/>
  <c r="B228" i="2"/>
  <c r="N228" i="2" s="1"/>
  <c r="B256" i="2"/>
  <c r="N256" i="2" s="1"/>
  <c r="B288" i="2"/>
  <c r="N288" i="2" s="1"/>
  <c r="B316" i="2"/>
  <c r="B344" i="2"/>
  <c r="N344" i="2" s="1"/>
  <c r="B372" i="2"/>
  <c r="N372" i="2" s="1"/>
  <c r="B400" i="2"/>
  <c r="N400" i="2" s="1"/>
  <c r="B432" i="2"/>
  <c r="N432" i="2" s="1"/>
  <c r="B460" i="2"/>
  <c r="A460" i="2" s="1"/>
  <c r="B488" i="2"/>
  <c r="N488" i="2" s="1"/>
  <c r="B29" i="2"/>
  <c r="A29" i="2" s="1"/>
  <c r="B67" i="2"/>
  <c r="D67" i="2" s="1"/>
  <c r="B102" i="2"/>
  <c r="B134" i="2"/>
  <c r="B169" i="2"/>
  <c r="B200" i="2"/>
  <c r="B229" i="2"/>
  <c r="N229" i="2" s="1"/>
  <c r="B257" i="2"/>
  <c r="N257" i="2" s="1"/>
  <c r="B289" i="2"/>
  <c r="B317" i="2"/>
  <c r="N317" i="2" s="1"/>
  <c r="B345" i="2"/>
  <c r="N345" i="2" s="1"/>
  <c r="B373" i="2"/>
  <c r="N373" i="2" s="1"/>
  <c r="B401" i="2"/>
  <c r="N401" i="2" s="1"/>
  <c r="B433" i="2"/>
  <c r="E433" i="2" s="1"/>
  <c r="B461" i="2"/>
  <c r="N461" i="2" s="1"/>
  <c r="B489" i="2"/>
  <c r="N489" i="2" s="1"/>
  <c r="B35" i="2"/>
  <c r="H35" i="2" s="1"/>
  <c r="B69" i="2"/>
  <c r="G69" i="2" s="1"/>
  <c r="B103" i="2"/>
  <c r="B140" i="2"/>
  <c r="B171" i="2"/>
  <c r="H171" i="2" s="1"/>
  <c r="B201" i="2"/>
  <c r="B230" i="2"/>
  <c r="N230" i="2" s="1"/>
  <c r="B262" i="2"/>
  <c r="N262" i="2" s="1"/>
  <c r="B290" i="2"/>
  <c r="A290" i="2" s="1"/>
  <c r="B318" i="2"/>
  <c r="N318" i="2" s="1"/>
  <c r="B36" i="2"/>
  <c r="A36" i="2" s="1"/>
  <c r="B70" i="2"/>
  <c r="H70" i="2" s="1"/>
  <c r="B104" i="2"/>
  <c r="B37" i="2"/>
  <c r="A37" i="2" s="1"/>
  <c r="A232" i="2"/>
  <c r="D435" i="2"/>
  <c r="D232" i="2"/>
  <c r="E434" i="2"/>
  <c r="G107" i="2"/>
  <c r="B465" i="2"/>
  <c r="N465" i="2" s="1"/>
  <c r="B374" i="2"/>
  <c r="N374" i="2" s="1"/>
  <c r="B264" i="2"/>
  <c r="G264" i="2" s="1"/>
  <c r="B142" i="2"/>
  <c r="D438" i="2"/>
  <c r="A231" i="2"/>
  <c r="A105" i="2"/>
  <c r="D434" i="2"/>
  <c r="D231" i="2"/>
  <c r="G205" i="2"/>
  <c r="B464" i="2"/>
  <c r="N464" i="2" s="1"/>
  <c r="B352" i="2"/>
  <c r="N352" i="2" s="1"/>
  <c r="B263" i="2"/>
  <c r="B141" i="2"/>
  <c r="F233" i="2"/>
  <c r="B463" i="2"/>
  <c r="N463" i="2" s="1"/>
  <c r="B351" i="2"/>
  <c r="N351" i="2" s="1"/>
  <c r="B240" i="2"/>
  <c r="F240" i="2" s="1"/>
  <c r="B114" i="2"/>
  <c r="E233" i="2"/>
  <c r="F232" i="2"/>
  <c r="B462" i="2"/>
  <c r="N462" i="2" s="1"/>
  <c r="B350" i="2"/>
  <c r="G350" i="2" s="1"/>
  <c r="B239" i="2"/>
  <c r="N239" i="2" s="1"/>
  <c r="B108" i="2"/>
  <c r="A436" i="2"/>
  <c r="H435" i="2"/>
  <c r="G435" i="2"/>
  <c r="F435" i="2"/>
  <c r="H291" i="2"/>
  <c r="G291" i="2"/>
  <c r="F291" i="2"/>
  <c r="F195" i="2"/>
  <c r="G434" i="2"/>
  <c r="F434" i="2"/>
  <c r="F386" i="2"/>
  <c r="G266" i="2"/>
  <c r="F266" i="2"/>
  <c r="E266" i="2"/>
  <c r="G194" i="2"/>
  <c r="F194" i="2"/>
  <c r="E194" i="2"/>
  <c r="G170" i="2"/>
  <c r="F170" i="2"/>
  <c r="F409" i="2"/>
  <c r="E409" i="2"/>
  <c r="F385" i="2"/>
  <c r="E385" i="2"/>
  <c r="F265" i="2"/>
  <c r="E265" i="2"/>
  <c r="F241" i="2"/>
  <c r="E241" i="2"/>
  <c r="H436" i="2"/>
  <c r="G436" i="2"/>
  <c r="E384" i="2"/>
  <c r="D384" i="2"/>
  <c r="F124" i="2"/>
  <c r="H412" i="2"/>
  <c r="G412" i="2"/>
  <c r="H170" i="2"/>
  <c r="H292" i="2"/>
  <c r="G292" i="2"/>
  <c r="H361" i="2"/>
  <c r="H124" i="2"/>
  <c r="H194" i="2"/>
  <c r="A124" i="2"/>
  <c r="G470" i="2"/>
  <c r="H384" i="2"/>
  <c r="E292" i="2"/>
  <c r="H383" i="2"/>
  <c r="H218" i="2"/>
  <c r="H388" i="2"/>
  <c r="G388" i="2"/>
  <c r="D292" i="2"/>
  <c r="E412" i="2"/>
  <c r="F388" i="2"/>
  <c r="H434" i="2"/>
  <c r="H215" i="2"/>
  <c r="E436" i="2"/>
  <c r="F412" i="2"/>
  <c r="G407" i="2"/>
  <c r="H266" i="2"/>
  <c r="A292" i="2"/>
  <c r="F215" i="2"/>
  <c r="H348" i="2"/>
  <c r="H265" i="2"/>
  <c r="F436" i="2"/>
  <c r="E215" i="2"/>
  <c r="G265" i="2"/>
  <c r="A388" i="2"/>
  <c r="D361" i="2"/>
  <c r="E482" i="2"/>
  <c r="H481" i="2"/>
  <c r="D144" i="2"/>
  <c r="D42" i="2"/>
  <c r="G28" i="2"/>
  <c r="D7" i="2"/>
  <c r="F15" i="2"/>
  <c r="G30" i="2"/>
  <c r="G58" i="2"/>
  <c r="D30" i="2"/>
  <c r="G57" i="2"/>
  <c r="E50" i="2"/>
  <c r="E27" i="2"/>
  <c r="G50" i="2"/>
  <c r="D27" i="2"/>
  <c r="F58" i="2"/>
  <c r="E5" i="2"/>
  <c r="F57" i="2"/>
  <c r="D59" i="2"/>
  <c r="H50" i="2"/>
  <c r="D39" i="2"/>
  <c r="D15" i="2"/>
  <c r="D38" i="2"/>
  <c r="E75" i="2"/>
  <c r="F39" i="2"/>
  <c r="G27" i="2"/>
  <c r="E30" i="2"/>
  <c r="F38" i="2"/>
  <c r="F85" i="2"/>
  <c r="D81" i="2"/>
  <c r="F34" i="2"/>
  <c r="F42" i="2"/>
  <c r="H45" i="2"/>
  <c r="F84" i="2"/>
  <c r="H44" i="2"/>
  <c r="E68" i="2"/>
  <c r="E44" i="2"/>
  <c r="H89" i="2"/>
  <c r="H39" i="2"/>
  <c r="E39" i="2"/>
  <c r="E15" i="2"/>
  <c r="F30" i="2"/>
  <c r="H38" i="2"/>
  <c r="H85" i="2"/>
  <c r="E38" i="2"/>
  <c r="E85" i="2"/>
  <c r="G44" i="2"/>
  <c r="D44" i="2"/>
  <c r="E84" i="2"/>
  <c r="F75" i="2"/>
  <c r="F27" i="2"/>
  <c r="G43" i="2"/>
  <c r="H59" i="2"/>
  <c r="H58" i="2"/>
  <c r="H57" i="2"/>
  <c r="G40" i="2"/>
  <c r="G39" i="2"/>
  <c r="G15" i="2"/>
  <c r="H31" i="2"/>
  <c r="G38" i="2"/>
  <c r="H30" i="2"/>
  <c r="E59" i="2"/>
  <c r="G85" i="2"/>
  <c r="H77" i="2"/>
  <c r="H5" i="2"/>
  <c r="H52" i="2"/>
  <c r="D43" i="2"/>
  <c r="L2" i="2"/>
  <c r="M2" i="2" s="1"/>
  <c r="G206" i="2" l="1"/>
  <c r="H28" i="2"/>
  <c r="D41" i="2"/>
  <c r="G220" i="2"/>
  <c r="H220" i="2"/>
  <c r="H407" i="2"/>
  <c r="D45" i="2"/>
  <c r="D21" i="2"/>
  <c r="F14" i="2"/>
  <c r="D9" i="2"/>
  <c r="A484" i="2"/>
  <c r="E7" i="2"/>
  <c r="G410" i="2"/>
  <c r="D17" i="2"/>
  <c r="D349" i="2"/>
  <c r="M435" i="2"/>
  <c r="F347" i="2"/>
  <c r="F349" i="2"/>
  <c r="H6" i="2"/>
  <c r="F410" i="2"/>
  <c r="D387" i="2"/>
  <c r="H78" i="2"/>
  <c r="H7" i="2"/>
  <c r="D28" i="2"/>
  <c r="L435" i="2"/>
  <c r="L347" i="2"/>
  <c r="I349" i="2"/>
  <c r="I347" i="2"/>
  <c r="K349" i="2"/>
  <c r="D4" i="2"/>
  <c r="E28" i="2"/>
  <c r="E26" i="2"/>
  <c r="H14" i="2"/>
  <c r="F43" i="2"/>
  <c r="E145" i="2"/>
  <c r="J347" i="2"/>
  <c r="D75" i="2"/>
  <c r="F26" i="2"/>
  <c r="F325" i="2"/>
  <c r="M347" i="2"/>
  <c r="D206" i="2"/>
  <c r="H410" i="2"/>
  <c r="E484" i="2"/>
  <c r="D78" i="2"/>
  <c r="H387" i="2"/>
  <c r="G75" i="2"/>
  <c r="E323" i="2"/>
  <c r="I231" i="2"/>
  <c r="M233" i="2"/>
  <c r="G7" i="2"/>
  <c r="G26" i="2"/>
  <c r="A148" i="2"/>
  <c r="G41" i="2"/>
  <c r="H88" i="2"/>
  <c r="K231" i="2"/>
  <c r="D26" i="2"/>
  <c r="F28" i="2"/>
  <c r="H34" i="2"/>
  <c r="E42" i="2"/>
  <c r="F50" i="2"/>
  <c r="G42" i="2"/>
  <c r="A220" i="2"/>
  <c r="G268" i="2"/>
  <c r="H43" i="2"/>
  <c r="H268" i="2"/>
  <c r="M231" i="2"/>
  <c r="F41" i="2"/>
  <c r="E43" i="2"/>
  <c r="H26" i="2"/>
  <c r="F407" i="2"/>
  <c r="D268" i="2"/>
  <c r="H42" i="2"/>
  <c r="A268" i="2"/>
  <c r="D36" i="2"/>
  <c r="E47" i="2"/>
  <c r="G56" i="2"/>
  <c r="A315" i="2"/>
  <c r="F9" i="2"/>
  <c r="E9" i="2"/>
  <c r="E88" i="2"/>
  <c r="E14" i="2"/>
  <c r="D494" i="2"/>
  <c r="G77" i="2"/>
  <c r="H411" i="2"/>
  <c r="G99" i="2"/>
  <c r="E494" i="2"/>
  <c r="F484" i="2"/>
  <c r="F77" i="2"/>
  <c r="E206" i="2"/>
  <c r="D51" i="2"/>
  <c r="G66" i="2"/>
  <c r="E13" i="2"/>
  <c r="G4" i="2"/>
  <c r="F31" i="2"/>
  <c r="H206" i="2"/>
  <c r="J231" i="2"/>
  <c r="L233" i="2"/>
  <c r="F51" i="2"/>
  <c r="E51" i="2"/>
  <c r="L231" i="2"/>
  <c r="G82" i="2"/>
  <c r="D323" i="2"/>
  <c r="F432" i="2"/>
  <c r="J323" i="2"/>
  <c r="G148" i="2"/>
  <c r="H358" i="2"/>
  <c r="G49" i="2"/>
  <c r="H406" i="2"/>
  <c r="G23" i="2"/>
  <c r="D74" i="2"/>
  <c r="G13" i="2"/>
  <c r="F36" i="2"/>
  <c r="D31" i="2"/>
  <c r="H100" i="2"/>
  <c r="E76" i="2"/>
  <c r="F32" i="2"/>
  <c r="D40" i="2"/>
  <c r="F60" i="2"/>
  <c r="F4" i="2"/>
  <c r="H76" i="2"/>
  <c r="E31" i="2"/>
  <c r="H242" i="2"/>
  <c r="F387" i="2"/>
  <c r="F40" i="2"/>
  <c r="E4" i="2"/>
  <c r="G61" i="2"/>
  <c r="H47" i="2"/>
  <c r="F61" i="2"/>
  <c r="E32" i="2"/>
  <c r="E326" i="2"/>
  <c r="G387" i="2"/>
  <c r="D46" i="2"/>
  <c r="E6" i="2"/>
  <c r="E87" i="2"/>
  <c r="E52" i="2"/>
  <c r="E11" i="2"/>
  <c r="D19" i="2"/>
  <c r="D16" i="2"/>
  <c r="E63" i="2"/>
  <c r="H60" i="2"/>
  <c r="G76" i="2"/>
  <c r="G484" i="2"/>
  <c r="G14" i="2"/>
  <c r="F7" i="2"/>
  <c r="D14" i="2"/>
  <c r="H484" i="2"/>
  <c r="G98" i="2"/>
  <c r="E16" i="2"/>
  <c r="E40" i="2"/>
  <c r="A349" i="2"/>
  <c r="J435" i="2"/>
  <c r="E347" i="2"/>
  <c r="J232" i="2"/>
  <c r="A439" i="2"/>
  <c r="G33" i="2"/>
  <c r="H19" i="2"/>
  <c r="H40" i="2"/>
  <c r="F326" i="2"/>
  <c r="E218" i="2"/>
  <c r="H340" i="2"/>
  <c r="G242" i="2"/>
  <c r="D238" i="2"/>
  <c r="D347" i="2"/>
  <c r="H322" i="2"/>
  <c r="H324" i="2"/>
  <c r="I232" i="2"/>
  <c r="D439" i="2"/>
  <c r="H32" i="2"/>
  <c r="F76" i="2"/>
  <c r="E41" i="2"/>
  <c r="G9" i="2"/>
  <c r="F87" i="2"/>
  <c r="G16" i="2"/>
  <c r="H41" i="2"/>
  <c r="G74" i="2"/>
  <c r="G47" i="2"/>
  <c r="D76" i="2"/>
  <c r="A346" i="2"/>
  <c r="J322" i="2"/>
  <c r="H238" i="2"/>
  <c r="F6" i="2"/>
  <c r="E437" i="2"/>
  <c r="F35" i="2"/>
  <c r="E72" i="2"/>
  <c r="L439" i="2"/>
  <c r="I439" i="2"/>
  <c r="D437" i="2"/>
  <c r="D338" i="2"/>
  <c r="D11" i="2"/>
  <c r="F47" i="2"/>
  <c r="G52" i="2"/>
  <c r="G364" i="2"/>
  <c r="E46" i="2"/>
  <c r="E98" i="2"/>
  <c r="N232" i="2"/>
  <c r="E232" i="2"/>
  <c r="H72" i="2"/>
  <c r="G67" i="2"/>
  <c r="A75" i="2"/>
  <c r="E62" i="2"/>
  <c r="E91" i="2"/>
  <c r="F433" i="2"/>
  <c r="F11" i="2"/>
  <c r="E455" i="2"/>
  <c r="E216" i="2"/>
  <c r="H99" i="2"/>
  <c r="E67" i="2"/>
  <c r="G6" i="2"/>
  <c r="D360" i="2"/>
  <c r="F5" i="2"/>
  <c r="H264" i="2"/>
  <c r="E360" i="2"/>
  <c r="N324" i="2"/>
  <c r="A324" i="2"/>
  <c r="F360" i="2"/>
  <c r="E335" i="2"/>
  <c r="A437" i="2"/>
  <c r="H207" i="2"/>
  <c r="K238" i="2"/>
  <c r="E231" i="2"/>
  <c r="H36" i="2"/>
  <c r="D6" i="2"/>
  <c r="E363" i="2"/>
  <c r="G219" i="2"/>
  <c r="G408" i="2"/>
  <c r="D408" i="2"/>
  <c r="N322" i="2"/>
  <c r="E408" i="2"/>
  <c r="E97" i="2"/>
  <c r="D322" i="2"/>
  <c r="D363" i="2"/>
  <c r="E77" i="2"/>
  <c r="K437" i="2"/>
  <c r="N347" i="2"/>
  <c r="F89" i="2"/>
  <c r="G123" i="2"/>
  <c r="F121" i="2"/>
  <c r="F24" i="2"/>
  <c r="G64" i="2"/>
  <c r="G53" i="2"/>
  <c r="I324" i="2"/>
  <c r="L437" i="2"/>
  <c r="M349" i="2"/>
  <c r="K324" i="2"/>
  <c r="I437" i="2"/>
  <c r="J349" i="2"/>
  <c r="N349" i="2"/>
  <c r="M324" i="2"/>
  <c r="J437" i="2"/>
  <c r="L349" i="2"/>
  <c r="E349" i="2"/>
  <c r="G88" i="2"/>
  <c r="F336" i="2"/>
  <c r="H81" i="2"/>
  <c r="F52" i="2"/>
  <c r="G5" i="2"/>
  <c r="F66" i="2"/>
  <c r="F21" i="2"/>
  <c r="H408" i="2"/>
  <c r="E339" i="2"/>
  <c r="E217" i="2"/>
  <c r="F218" i="2"/>
  <c r="F411" i="2"/>
  <c r="A435" i="2"/>
  <c r="L324" i="2"/>
  <c r="I348" i="2"/>
  <c r="A238" i="2"/>
  <c r="D5" i="2"/>
  <c r="D70" i="2"/>
  <c r="G31" i="2"/>
  <c r="D52" i="2"/>
  <c r="G411" i="2"/>
  <c r="F206" i="2"/>
  <c r="H232" i="2"/>
  <c r="H106" i="2"/>
  <c r="H12" i="2"/>
  <c r="E147" i="2"/>
  <c r="E121" i="2"/>
  <c r="F79" i="2"/>
  <c r="G17" i="2"/>
  <c r="F123" i="2"/>
  <c r="D53" i="2"/>
  <c r="D24" i="2"/>
  <c r="F12" i="2"/>
  <c r="A338" i="2"/>
  <c r="F335" i="2"/>
  <c r="G106" i="2"/>
  <c r="G89" i="2"/>
  <c r="A363" i="2"/>
  <c r="E338" i="2"/>
  <c r="F147" i="2"/>
  <c r="D20" i="2"/>
  <c r="H29" i="2"/>
  <c r="E220" i="2"/>
  <c r="G147" i="2"/>
  <c r="D124" i="2"/>
  <c r="A107" i="2"/>
  <c r="E431" i="2"/>
  <c r="F71" i="2"/>
  <c r="A440" i="2"/>
  <c r="E89" i="2"/>
  <c r="D440" i="2"/>
  <c r="M440" i="2"/>
  <c r="I440" i="2"/>
  <c r="A438" i="2"/>
  <c r="D79" i="2"/>
  <c r="F20" i="2"/>
  <c r="H429" i="2"/>
  <c r="F339" i="2"/>
  <c r="K438" i="2"/>
  <c r="E429" i="2"/>
  <c r="F44" i="2"/>
  <c r="G404" i="2"/>
  <c r="G336" i="2"/>
  <c r="H438" i="2"/>
  <c r="G55" i="2"/>
  <c r="H363" i="2"/>
  <c r="G90" i="2"/>
  <c r="L438" i="2"/>
  <c r="E17" i="2"/>
  <c r="D12" i="2"/>
  <c r="G314" i="2"/>
  <c r="F53" i="2"/>
  <c r="E438" i="2"/>
  <c r="G73" i="2"/>
  <c r="G362" i="2"/>
  <c r="N362" i="2"/>
  <c r="D207" i="2"/>
  <c r="F438" i="2"/>
  <c r="N438" i="2"/>
  <c r="A340" i="2"/>
  <c r="N340" i="2"/>
  <c r="F337" i="2"/>
  <c r="N337" i="2"/>
  <c r="H359" i="2"/>
  <c r="N359" i="2"/>
  <c r="H403" i="2"/>
  <c r="N403" i="2"/>
  <c r="H263" i="2"/>
  <c r="N263" i="2"/>
  <c r="D312" i="2"/>
  <c r="N312" i="2"/>
  <c r="F440" i="2"/>
  <c r="N440" i="2"/>
  <c r="G290" i="2"/>
  <c r="N290" i="2"/>
  <c r="K440" i="2"/>
  <c r="F482" i="2"/>
  <c r="N482" i="2"/>
  <c r="F73" i="2"/>
  <c r="J438" i="2"/>
  <c r="F143" i="2"/>
  <c r="H460" i="2"/>
  <c r="N460" i="2"/>
  <c r="G457" i="2"/>
  <c r="N457" i="2"/>
  <c r="E454" i="2"/>
  <c r="N454" i="2"/>
  <c r="H243" i="2"/>
  <c r="N243" i="2"/>
  <c r="M438" i="2"/>
  <c r="E143" i="2"/>
  <c r="F82" i="2"/>
  <c r="E361" i="2"/>
  <c r="G195" i="2"/>
  <c r="D205" i="2"/>
  <c r="E207" i="2"/>
  <c r="H73" i="2"/>
  <c r="D37" i="2"/>
  <c r="E29" i="2"/>
  <c r="E20" i="2"/>
  <c r="H239" i="2"/>
  <c r="G196" i="2"/>
  <c r="F172" i="2"/>
  <c r="G71" i="2"/>
  <c r="D73" i="2"/>
  <c r="G8" i="2"/>
  <c r="E219" i="2"/>
  <c r="F219" i="2"/>
  <c r="G143" i="2"/>
  <c r="H67" i="2"/>
  <c r="H431" i="2"/>
  <c r="D316" i="2"/>
  <c r="N316" i="2"/>
  <c r="A313" i="2"/>
  <c r="N313" i="2"/>
  <c r="G86" i="2"/>
  <c r="D100" i="2"/>
  <c r="D22" i="2"/>
  <c r="E19" i="2"/>
  <c r="G37" i="2"/>
  <c r="F23" i="2"/>
  <c r="F239" i="2"/>
  <c r="D336" i="2"/>
  <c r="G385" i="2"/>
  <c r="N385" i="2"/>
  <c r="E64" i="2"/>
  <c r="H20" i="2"/>
  <c r="F63" i="2"/>
  <c r="F431" i="2"/>
  <c r="H432" i="2"/>
  <c r="H386" i="2"/>
  <c r="E336" i="2"/>
  <c r="G386" i="2"/>
  <c r="F243" i="2"/>
  <c r="G340" i="2"/>
  <c r="G483" i="2"/>
  <c r="N483" i="2"/>
  <c r="E480" i="2"/>
  <c r="N480" i="2"/>
  <c r="E244" i="2"/>
  <c r="N244" i="2"/>
  <c r="D120" i="2"/>
  <c r="D122" i="2"/>
  <c r="D25" i="2"/>
  <c r="E205" i="2"/>
  <c r="G169" i="2"/>
  <c r="F267" i="2"/>
  <c r="D264" i="2"/>
  <c r="N264" i="2"/>
  <c r="H458" i="2"/>
  <c r="N458" i="2"/>
  <c r="H216" i="2"/>
  <c r="G267" i="2"/>
  <c r="G433" i="2"/>
  <c r="N433" i="2"/>
  <c r="H430" i="2"/>
  <c r="N430" i="2"/>
  <c r="E196" i="2"/>
  <c r="E440" i="2"/>
  <c r="H267" i="2"/>
  <c r="H168" i="2"/>
  <c r="E170" i="2"/>
  <c r="F350" i="2"/>
  <c r="N350" i="2"/>
  <c r="A364" i="2"/>
  <c r="N364" i="2"/>
  <c r="G361" i="2"/>
  <c r="N361" i="2"/>
  <c r="G241" i="2"/>
  <c r="N241" i="2"/>
  <c r="G146" i="2"/>
  <c r="F437" i="2"/>
  <c r="N437" i="2"/>
  <c r="A339" i="2"/>
  <c r="N339" i="2"/>
  <c r="F439" i="2"/>
  <c r="N439" i="2"/>
  <c r="F207" i="2"/>
  <c r="E8" i="2"/>
  <c r="A314" i="2"/>
  <c r="N314" i="2"/>
  <c r="D71" i="2"/>
  <c r="H457" i="2"/>
  <c r="H241" i="2"/>
  <c r="H364" i="2"/>
  <c r="F315" i="2"/>
  <c r="F289" i="2"/>
  <c r="N289" i="2"/>
  <c r="E61" i="2"/>
  <c r="H71" i="2"/>
  <c r="F8" i="2"/>
  <c r="G12" i="2"/>
  <c r="F340" i="2"/>
  <c r="F99" i="2"/>
  <c r="G315" i="2"/>
  <c r="G440" i="2"/>
  <c r="K439" i="2"/>
  <c r="J440" i="2"/>
  <c r="E73" i="2"/>
  <c r="F29" i="2"/>
  <c r="F81" i="2"/>
  <c r="G46" i="2"/>
  <c r="A196" i="2"/>
  <c r="G36" i="2"/>
  <c r="H56" i="2"/>
  <c r="E12" i="2"/>
  <c r="H17" i="2"/>
  <c r="G405" i="2"/>
  <c r="H379" i="2"/>
  <c r="E60" i="2"/>
  <c r="F90" i="2"/>
  <c r="G489" i="2"/>
  <c r="H192" i="2"/>
  <c r="E340" i="2"/>
  <c r="H315" i="2"/>
  <c r="E240" i="2"/>
  <c r="N240" i="2"/>
  <c r="H459" i="2"/>
  <c r="N459" i="2"/>
  <c r="E456" i="2"/>
  <c r="N456" i="2"/>
  <c r="G446" i="2"/>
  <c r="N446" i="2"/>
  <c r="H439" i="2"/>
  <c r="H440" i="2"/>
  <c r="H169" i="2"/>
  <c r="G193" i="2"/>
  <c r="G22" i="2"/>
  <c r="F86" i="2"/>
  <c r="A172" i="2"/>
  <c r="F244" i="2"/>
  <c r="E83" i="2"/>
  <c r="G172" i="2"/>
  <c r="H172" i="2"/>
  <c r="F457" i="2"/>
  <c r="H339" i="2"/>
  <c r="F54" i="2"/>
  <c r="D23" i="2"/>
  <c r="E66" i="2"/>
  <c r="G72" i="2"/>
  <c r="F64" i="2"/>
  <c r="H13" i="2"/>
  <c r="E23" i="2"/>
  <c r="E21" i="2"/>
  <c r="F48" i="2"/>
  <c r="F25" i="2"/>
  <c r="H290" i="2"/>
  <c r="E430" i="2"/>
  <c r="D364" i="2"/>
  <c r="F168" i="2"/>
  <c r="F100" i="2"/>
  <c r="E65" i="2"/>
  <c r="F10" i="2"/>
  <c r="H83" i="2"/>
  <c r="F22" i="2"/>
  <c r="D69" i="2"/>
  <c r="H46" i="2"/>
  <c r="H18" i="2"/>
  <c r="F56" i="2"/>
  <c r="G29" i="2"/>
  <c r="H482" i="2"/>
  <c r="E458" i="2"/>
  <c r="H433" i="2"/>
  <c r="F316" i="2"/>
  <c r="F74" i="2"/>
  <c r="G19" i="2"/>
  <c r="E25" i="2"/>
  <c r="A244" i="2"/>
  <c r="H63" i="2"/>
  <c r="E69" i="2"/>
  <c r="G10" i="2"/>
  <c r="E460" i="2"/>
  <c r="E290" i="2"/>
  <c r="E35" i="2"/>
  <c r="E36" i="2"/>
  <c r="G65" i="2"/>
  <c r="H66" i="2"/>
  <c r="D83" i="2"/>
  <c r="F49" i="2"/>
  <c r="D72" i="2"/>
  <c r="D337" i="2"/>
  <c r="G460" i="2"/>
  <c r="F290" i="2"/>
  <c r="H80" i="2"/>
  <c r="E48" i="2"/>
  <c r="H87" i="2"/>
  <c r="G62" i="2"/>
  <c r="H90" i="2"/>
  <c r="H21" i="2"/>
  <c r="H48" i="2"/>
  <c r="F19" i="2"/>
  <c r="H289" i="2"/>
  <c r="G84" i="2"/>
  <c r="M437" i="2"/>
  <c r="G439" i="2"/>
  <c r="G316" i="2"/>
  <c r="E100" i="2"/>
  <c r="G80" i="2"/>
  <c r="H316" i="2"/>
  <c r="H244" i="2"/>
  <c r="M439" i="2"/>
  <c r="E122" i="2"/>
  <c r="D107" i="2"/>
  <c r="F107" i="2"/>
  <c r="G122" i="2"/>
  <c r="E172" i="2"/>
  <c r="G18" i="2"/>
  <c r="E86" i="2"/>
  <c r="E22" i="2"/>
  <c r="F364" i="2"/>
  <c r="G124" i="2"/>
  <c r="D240" i="2"/>
  <c r="E146" i="2"/>
  <c r="G243" i="2"/>
  <c r="G459" i="2"/>
  <c r="D244" i="2"/>
  <c r="G20" i="2"/>
  <c r="E49" i="2"/>
  <c r="E289" i="2"/>
  <c r="F146" i="2"/>
  <c r="E350" i="2"/>
  <c r="E337" i="2"/>
  <c r="F483" i="2"/>
  <c r="E439" i="2"/>
  <c r="H437" i="2"/>
  <c r="F122" i="2"/>
  <c r="D29" i="2"/>
  <c r="F72" i="2"/>
  <c r="G100" i="2"/>
  <c r="H201" i="2"/>
  <c r="A201" i="2"/>
  <c r="D201" i="2"/>
  <c r="E201" i="2"/>
  <c r="F201" i="2"/>
  <c r="G201" i="2"/>
  <c r="L432" i="2"/>
  <c r="M432" i="2"/>
  <c r="K432" i="2"/>
  <c r="J432" i="2"/>
  <c r="I432" i="2"/>
  <c r="A432" i="2"/>
  <c r="A198" i="2"/>
  <c r="F198" i="2"/>
  <c r="H198" i="2"/>
  <c r="D198" i="2"/>
  <c r="E198" i="2"/>
  <c r="G198" i="2"/>
  <c r="I425" i="2"/>
  <c r="L425" i="2"/>
  <c r="M425" i="2"/>
  <c r="K425" i="2"/>
  <c r="J425" i="2"/>
  <c r="G425" i="2"/>
  <c r="E425" i="2"/>
  <c r="A425" i="2"/>
  <c r="H425" i="2"/>
  <c r="F425" i="2"/>
  <c r="D425" i="2"/>
  <c r="A195" i="2"/>
  <c r="E195" i="2"/>
  <c r="D195" i="2"/>
  <c r="H422" i="2"/>
  <c r="K422" i="2"/>
  <c r="J422" i="2"/>
  <c r="L422" i="2"/>
  <c r="M422" i="2"/>
  <c r="I422" i="2"/>
  <c r="A422" i="2"/>
  <c r="G422" i="2"/>
  <c r="F422" i="2"/>
  <c r="D422" i="2"/>
  <c r="E422" i="2"/>
  <c r="D191" i="2"/>
  <c r="F191" i="2"/>
  <c r="E191" i="2"/>
  <c r="G191" i="2"/>
  <c r="A191" i="2"/>
  <c r="L419" i="2"/>
  <c r="K419" i="2"/>
  <c r="M419" i="2"/>
  <c r="J419" i="2"/>
  <c r="I419" i="2"/>
  <c r="E419" i="2"/>
  <c r="H419" i="2"/>
  <c r="G419" i="2"/>
  <c r="F419" i="2"/>
  <c r="D419" i="2"/>
  <c r="A419" i="2"/>
  <c r="E183" i="2"/>
  <c r="H183" i="2"/>
  <c r="A183" i="2"/>
  <c r="G183" i="2"/>
  <c r="D183" i="2"/>
  <c r="F183" i="2"/>
  <c r="K416" i="2"/>
  <c r="I416" i="2"/>
  <c r="L416" i="2"/>
  <c r="M416" i="2"/>
  <c r="J416" i="2"/>
  <c r="G416" i="2"/>
  <c r="F416" i="2"/>
  <c r="H416" i="2"/>
  <c r="E416" i="2"/>
  <c r="D416" i="2"/>
  <c r="A416" i="2"/>
  <c r="D215" i="2"/>
  <c r="G215" i="2"/>
  <c r="A215" i="2"/>
  <c r="H357" i="2"/>
  <c r="L357" i="2"/>
  <c r="K357" i="2"/>
  <c r="J357" i="2"/>
  <c r="F357" i="2"/>
  <c r="M357" i="2"/>
  <c r="I357" i="2"/>
  <c r="E357" i="2"/>
  <c r="G357" i="2"/>
  <c r="D357" i="2"/>
  <c r="A357" i="2"/>
  <c r="M332" i="2"/>
  <c r="J332" i="2"/>
  <c r="K332" i="2"/>
  <c r="L332" i="2"/>
  <c r="G332" i="2"/>
  <c r="H332" i="2"/>
  <c r="I332" i="2"/>
  <c r="A332" i="2"/>
  <c r="D332" i="2"/>
  <c r="F332" i="2"/>
  <c r="E332" i="2"/>
  <c r="M283" i="2"/>
  <c r="J283" i="2"/>
  <c r="L283" i="2"/>
  <c r="K283" i="2"/>
  <c r="I283" i="2"/>
  <c r="F283" i="2"/>
  <c r="H283" i="2"/>
  <c r="E283" i="2"/>
  <c r="A283" i="2"/>
  <c r="G283" i="2"/>
  <c r="D283" i="2"/>
  <c r="M234" i="2"/>
  <c r="L234" i="2"/>
  <c r="H234" i="2"/>
  <c r="K234" i="2"/>
  <c r="J234" i="2"/>
  <c r="E234" i="2"/>
  <c r="F234" i="2"/>
  <c r="D234" i="2"/>
  <c r="A234" i="2"/>
  <c r="I234" i="2"/>
  <c r="G234" i="2"/>
  <c r="H27" i="2"/>
  <c r="A27" i="2"/>
  <c r="M382" i="2"/>
  <c r="L382" i="2"/>
  <c r="I382" i="2"/>
  <c r="J382" i="2"/>
  <c r="K382" i="2"/>
  <c r="D382" i="2"/>
  <c r="H382" i="2"/>
  <c r="E382" i="2"/>
  <c r="F382" i="2"/>
  <c r="A382" i="2"/>
  <c r="G382" i="2"/>
  <c r="F406" i="2"/>
  <c r="L406" i="2"/>
  <c r="J406" i="2"/>
  <c r="K406" i="2"/>
  <c r="M406" i="2"/>
  <c r="I406" i="2"/>
  <c r="G406" i="2"/>
  <c r="D406" i="2"/>
  <c r="A406" i="2"/>
  <c r="E406" i="2"/>
  <c r="E105" i="2"/>
  <c r="E106" i="2"/>
  <c r="A171" i="2"/>
  <c r="D171" i="2"/>
  <c r="E171" i="2"/>
  <c r="M400" i="2"/>
  <c r="I400" i="2"/>
  <c r="L400" i="2"/>
  <c r="K400" i="2"/>
  <c r="H400" i="2"/>
  <c r="D400" i="2"/>
  <c r="A400" i="2"/>
  <c r="F400" i="2"/>
  <c r="E400" i="2"/>
  <c r="J400" i="2"/>
  <c r="G400" i="2"/>
  <c r="D167" i="2"/>
  <c r="H167" i="2"/>
  <c r="A167" i="2"/>
  <c r="E167" i="2"/>
  <c r="G167" i="2"/>
  <c r="F167" i="2"/>
  <c r="L397" i="2"/>
  <c r="J397" i="2"/>
  <c r="K397" i="2"/>
  <c r="H397" i="2"/>
  <c r="I397" i="2"/>
  <c r="M397" i="2"/>
  <c r="A397" i="2"/>
  <c r="E397" i="2"/>
  <c r="G397" i="2"/>
  <c r="F397" i="2"/>
  <c r="D397" i="2"/>
  <c r="G159" i="2"/>
  <c r="D159" i="2"/>
  <c r="H159" i="2"/>
  <c r="E159" i="2"/>
  <c r="F159" i="2"/>
  <c r="A159" i="2"/>
  <c r="L394" i="2"/>
  <c r="K394" i="2"/>
  <c r="J394" i="2"/>
  <c r="M394" i="2"/>
  <c r="H394" i="2"/>
  <c r="I394" i="2"/>
  <c r="E394" i="2"/>
  <c r="A394" i="2"/>
  <c r="D394" i="2"/>
  <c r="G394" i="2"/>
  <c r="F394" i="2"/>
  <c r="H156" i="2"/>
  <c r="E156" i="2"/>
  <c r="G156" i="2"/>
  <c r="F156" i="2"/>
  <c r="A156" i="2"/>
  <c r="D156" i="2"/>
  <c r="L391" i="2"/>
  <c r="K391" i="2"/>
  <c r="M391" i="2"/>
  <c r="H391" i="2"/>
  <c r="E391" i="2"/>
  <c r="I391" i="2"/>
  <c r="F391" i="2"/>
  <c r="G391" i="2"/>
  <c r="J391" i="2"/>
  <c r="D391" i="2"/>
  <c r="A391" i="2"/>
  <c r="H153" i="2"/>
  <c r="E153" i="2"/>
  <c r="G153" i="2"/>
  <c r="F153" i="2"/>
  <c r="D153" i="2"/>
  <c r="A153" i="2"/>
  <c r="E388" i="2"/>
  <c r="K388" i="2"/>
  <c r="L388" i="2"/>
  <c r="M388" i="2"/>
  <c r="J388" i="2"/>
  <c r="I388" i="2"/>
  <c r="E180" i="2"/>
  <c r="H180" i="2"/>
  <c r="A180" i="2"/>
  <c r="G180" i="2"/>
  <c r="D180" i="2"/>
  <c r="F180" i="2"/>
  <c r="K497" i="2"/>
  <c r="M497" i="2"/>
  <c r="I497" i="2"/>
  <c r="L497" i="2"/>
  <c r="D497" i="2"/>
  <c r="H497" i="2"/>
  <c r="G497" i="2"/>
  <c r="J497" i="2"/>
  <c r="E497" i="2"/>
  <c r="F497" i="2"/>
  <c r="A497" i="2"/>
  <c r="J333" i="2"/>
  <c r="K333" i="2"/>
  <c r="L333" i="2"/>
  <c r="I333" i="2"/>
  <c r="M333" i="2"/>
  <c r="G333" i="2"/>
  <c r="A333" i="2"/>
  <c r="D333" i="2"/>
  <c r="F333" i="2"/>
  <c r="H333" i="2"/>
  <c r="E333" i="2"/>
  <c r="M308" i="2"/>
  <c r="J308" i="2"/>
  <c r="K308" i="2"/>
  <c r="L308" i="2"/>
  <c r="G308" i="2"/>
  <c r="I308" i="2"/>
  <c r="H308" i="2"/>
  <c r="D308" i="2"/>
  <c r="A308" i="2"/>
  <c r="E308" i="2"/>
  <c r="F308" i="2"/>
  <c r="M259" i="2"/>
  <c r="I259" i="2"/>
  <c r="J259" i="2"/>
  <c r="K259" i="2"/>
  <c r="L259" i="2"/>
  <c r="G259" i="2"/>
  <c r="A259" i="2"/>
  <c r="F259" i="2"/>
  <c r="E259" i="2"/>
  <c r="H259" i="2"/>
  <c r="D259" i="2"/>
  <c r="E210" i="2"/>
  <c r="G210" i="2"/>
  <c r="H210" i="2"/>
  <c r="A210" i="2"/>
  <c r="F210" i="2"/>
  <c r="D210" i="2"/>
  <c r="L265" i="2"/>
  <c r="K265" i="2"/>
  <c r="J265" i="2"/>
  <c r="M265" i="2"/>
  <c r="I265" i="2"/>
  <c r="A265" i="2"/>
  <c r="D265" i="2"/>
  <c r="F490" i="2"/>
  <c r="J490" i="2"/>
  <c r="M490" i="2"/>
  <c r="L490" i="2"/>
  <c r="K490" i="2"/>
  <c r="H490" i="2"/>
  <c r="I490" i="2"/>
  <c r="G490" i="2"/>
  <c r="A490" i="2"/>
  <c r="E490" i="2"/>
  <c r="D490" i="2"/>
  <c r="H493" i="2"/>
  <c r="L493" i="2"/>
  <c r="J493" i="2"/>
  <c r="M493" i="2"/>
  <c r="K493" i="2"/>
  <c r="D493" i="2"/>
  <c r="F493" i="2"/>
  <c r="I493" i="2"/>
  <c r="A493" i="2"/>
  <c r="G493" i="2"/>
  <c r="E493" i="2"/>
  <c r="D106" i="2"/>
  <c r="H140" i="2"/>
  <c r="G140" i="2"/>
  <c r="A140" i="2"/>
  <c r="D140" i="2"/>
  <c r="E140" i="2"/>
  <c r="F140" i="2"/>
  <c r="H372" i="2"/>
  <c r="K372" i="2"/>
  <c r="M372" i="2"/>
  <c r="I372" i="2"/>
  <c r="L372" i="2"/>
  <c r="J372" i="2"/>
  <c r="D372" i="2"/>
  <c r="A372" i="2"/>
  <c r="G372" i="2"/>
  <c r="F372" i="2"/>
  <c r="E372" i="2"/>
  <c r="G132" i="2"/>
  <c r="D132" i="2"/>
  <c r="H132" i="2"/>
  <c r="E132" i="2"/>
  <c r="F132" i="2"/>
  <c r="A132" i="2"/>
  <c r="H369" i="2"/>
  <c r="M369" i="2"/>
  <c r="K369" i="2"/>
  <c r="L369" i="2"/>
  <c r="J369" i="2"/>
  <c r="A369" i="2"/>
  <c r="D369" i="2"/>
  <c r="F369" i="2"/>
  <c r="G369" i="2"/>
  <c r="E369" i="2"/>
  <c r="I369" i="2"/>
  <c r="H129" i="2"/>
  <c r="D129" i="2"/>
  <c r="E129" i="2"/>
  <c r="A129" i="2"/>
  <c r="G129" i="2"/>
  <c r="F129" i="2"/>
  <c r="H366" i="2"/>
  <c r="M366" i="2"/>
  <c r="J366" i="2"/>
  <c r="K366" i="2"/>
  <c r="E366" i="2"/>
  <c r="L366" i="2"/>
  <c r="F366" i="2"/>
  <c r="A366" i="2"/>
  <c r="G366" i="2"/>
  <c r="I366" i="2"/>
  <c r="D366" i="2"/>
  <c r="H126" i="2"/>
  <c r="E126" i="2"/>
  <c r="G126" i="2"/>
  <c r="A126" i="2"/>
  <c r="F126" i="2"/>
  <c r="D126" i="2"/>
  <c r="L363" i="2"/>
  <c r="M363" i="2"/>
  <c r="J363" i="2"/>
  <c r="K363" i="2"/>
  <c r="I363" i="2"/>
  <c r="H121" i="2"/>
  <c r="A121" i="2"/>
  <c r="G121" i="2"/>
  <c r="D121" i="2"/>
  <c r="K360" i="2"/>
  <c r="J360" i="2"/>
  <c r="L360" i="2"/>
  <c r="M360" i="2"/>
  <c r="I360" i="2"/>
  <c r="A360" i="2"/>
  <c r="F150" i="2"/>
  <c r="H150" i="2"/>
  <c r="A150" i="2"/>
  <c r="D150" i="2"/>
  <c r="E150" i="2"/>
  <c r="G150" i="2"/>
  <c r="G469" i="2"/>
  <c r="L469" i="2"/>
  <c r="J469" i="2"/>
  <c r="M469" i="2"/>
  <c r="I469" i="2"/>
  <c r="D469" i="2"/>
  <c r="E469" i="2"/>
  <c r="K469" i="2"/>
  <c r="F469" i="2"/>
  <c r="A469" i="2"/>
  <c r="K309" i="2"/>
  <c r="M309" i="2"/>
  <c r="L309" i="2"/>
  <c r="H309" i="2"/>
  <c r="F309" i="2"/>
  <c r="E309" i="2"/>
  <c r="I309" i="2"/>
  <c r="G309" i="2"/>
  <c r="D309" i="2"/>
  <c r="A309" i="2"/>
  <c r="J309" i="2"/>
  <c r="M284" i="2"/>
  <c r="J284" i="2"/>
  <c r="L284" i="2"/>
  <c r="K284" i="2"/>
  <c r="I284" i="2"/>
  <c r="F284" i="2"/>
  <c r="H284" i="2"/>
  <c r="D284" i="2"/>
  <c r="E284" i="2"/>
  <c r="G284" i="2"/>
  <c r="A284" i="2"/>
  <c r="L235" i="2"/>
  <c r="H235" i="2"/>
  <c r="M235" i="2"/>
  <c r="K235" i="2"/>
  <c r="J235" i="2"/>
  <c r="F235" i="2"/>
  <c r="E235" i="2"/>
  <c r="A235" i="2"/>
  <c r="D235" i="2"/>
  <c r="I235" i="2"/>
  <c r="G235" i="2"/>
  <c r="D185" i="2"/>
  <c r="H185" i="2"/>
  <c r="G185" i="2"/>
  <c r="E185" i="2"/>
  <c r="A185" i="2"/>
  <c r="F185" i="2"/>
  <c r="L375" i="2"/>
  <c r="M375" i="2"/>
  <c r="I375" i="2"/>
  <c r="F375" i="2"/>
  <c r="G375" i="2"/>
  <c r="K375" i="2"/>
  <c r="H375" i="2"/>
  <c r="J375" i="2"/>
  <c r="D375" i="2"/>
  <c r="A375" i="2"/>
  <c r="E375" i="2"/>
  <c r="F106" i="2"/>
  <c r="G103" i="2"/>
  <c r="D103" i="2"/>
  <c r="H103" i="2"/>
  <c r="A103" i="2"/>
  <c r="F103" i="2"/>
  <c r="E103" i="2"/>
  <c r="K344" i="2"/>
  <c r="I344" i="2"/>
  <c r="M344" i="2"/>
  <c r="L344" i="2"/>
  <c r="H344" i="2"/>
  <c r="J344" i="2"/>
  <c r="E344" i="2"/>
  <c r="D344" i="2"/>
  <c r="A344" i="2"/>
  <c r="F344" i="2"/>
  <c r="G344" i="2"/>
  <c r="E99" i="2"/>
  <c r="A99" i="2"/>
  <c r="M341" i="2"/>
  <c r="K341" i="2"/>
  <c r="L341" i="2"/>
  <c r="G341" i="2"/>
  <c r="J341" i="2"/>
  <c r="I341" i="2"/>
  <c r="A341" i="2"/>
  <c r="D341" i="2"/>
  <c r="F341" i="2"/>
  <c r="E341" i="2"/>
  <c r="H341" i="2"/>
  <c r="D95" i="2"/>
  <c r="A95" i="2"/>
  <c r="H95" i="2"/>
  <c r="E95" i="2"/>
  <c r="F95" i="2"/>
  <c r="G95" i="2"/>
  <c r="L338" i="2"/>
  <c r="J338" i="2"/>
  <c r="I338" i="2"/>
  <c r="M338" i="2"/>
  <c r="K338" i="2"/>
  <c r="H338" i="2"/>
  <c r="A91" i="2"/>
  <c r="F91" i="2"/>
  <c r="D335" i="2"/>
  <c r="J335" i="2"/>
  <c r="L335" i="2"/>
  <c r="M335" i="2"/>
  <c r="I335" i="2"/>
  <c r="A335" i="2"/>
  <c r="K335" i="2"/>
  <c r="D88" i="2"/>
  <c r="A88" i="2"/>
  <c r="L328" i="2"/>
  <c r="M328" i="2"/>
  <c r="J328" i="2"/>
  <c r="E328" i="2"/>
  <c r="K328" i="2"/>
  <c r="A328" i="2"/>
  <c r="F328" i="2"/>
  <c r="H328" i="2"/>
  <c r="G328" i="2"/>
  <c r="I328" i="2"/>
  <c r="D328" i="2"/>
  <c r="F117" i="2"/>
  <c r="H117" i="2"/>
  <c r="E117" i="2"/>
  <c r="G117" i="2"/>
  <c r="A117" i="2"/>
  <c r="D117" i="2"/>
  <c r="M441" i="2"/>
  <c r="K441" i="2"/>
  <c r="J441" i="2"/>
  <c r="I441" i="2"/>
  <c r="L441" i="2"/>
  <c r="D441" i="2"/>
  <c r="H441" i="2"/>
  <c r="E441" i="2"/>
  <c r="G441" i="2"/>
  <c r="A441" i="2"/>
  <c r="F441" i="2"/>
  <c r="M285" i="2"/>
  <c r="J285" i="2"/>
  <c r="L285" i="2"/>
  <c r="K285" i="2"/>
  <c r="I285" i="2"/>
  <c r="F285" i="2"/>
  <c r="H285" i="2"/>
  <c r="A285" i="2"/>
  <c r="E285" i="2"/>
  <c r="G285" i="2"/>
  <c r="D285" i="2"/>
  <c r="M260" i="2"/>
  <c r="L260" i="2"/>
  <c r="I260" i="2"/>
  <c r="J260" i="2"/>
  <c r="K260" i="2"/>
  <c r="D260" i="2"/>
  <c r="A260" i="2"/>
  <c r="G260" i="2"/>
  <c r="E260" i="2"/>
  <c r="F260" i="2"/>
  <c r="H260" i="2"/>
  <c r="E211" i="2"/>
  <c r="H211" i="2"/>
  <c r="A211" i="2"/>
  <c r="G211" i="2"/>
  <c r="F211" i="2"/>
  <c r="D211" i="2"/>
  <c r="D160" i="2"/>
  <c r="H160" i="2"/>
  <c r="G160" i="2"/>
  <c r="E160" i="2"/>
  <c r="F160" i="2"/>
  <c r="A160" i="2"/>
  <c r="H466" i="2"/>
  <c r="I466" i="2"/>
  <c r="D466" i="2"/>
  <c r="A466" i="2"/>
  <c r="L466" i="2"/>
  <c r="M466" i="2"/>
  <c r="K466" i="2"/>
  <c r="G466" i="2"/>
  <c r="J466" i="2"/>
  <c r="F466" i="2"/>
  <c r="E466" i="2"/>
  <c r="A69" i="2"/>
  <c r="F69" i="2"/>
  <c r="E316" i="2"/>
  <c r="M316" i="2"/>
  <c r="I316" i="2"/>
  <c r="J316" i="2"/>
  <c r="K316" i="2"/>
  <c r="L316" i="2"/>
  <c r="A65" i="2"/>
  <c r="D65" i="2"/>
  <c r="M313" i="2"/>
  <c r="K313" i="2"/>
  <c r="L313" i="2"/>
  <c r="J313" i="2"/>
  <c r="H313" i="2"/>
  <c r="I313" i="2"/>
  <c r="G313" i="2"/>
  <c r="D313" i="2"/>
  <c r="D62" i="2"/>
  <c r="A62" i="2"/>
  <c r="K310" i="2"/>
  <c r="M310" i="2"/>
  <c r="L310" i="2"/>
  <c r="H310" i="2"/>
  <c r="F310" i="2"/>
  <c r="I310" i="2"/>
  <c r="G310" i="2"/>
  <c r="D310" i="2"/>
  <c r="A310" i="2"/>
  <c r="J310" i="2"/>
  <c r="E310" i="2"/>
  <c r="G54" i="2"/>
  <c r="E54" i="2"/>
  <c r="D54" i="2"/>
  <c r="A54" i="2"/>
  <c r="L303" i="2"/>
  <c r="J303" i="2"/>
  <c r="K303" i="2"/>
  <c r="H303" i="2"/>
  <c r="M303" i="2"/>
  <c r="I303" i="2"/>
  <c r="G303" i="2"/>
  <c r="A303" i="2"/>
  <c r="D303" i="2"/>
  <c r="E303" i="2"/>
  <c r="F303" i="2"/>
  <c r="D48" i="2"/>
  <c r="A48" i="2"/>
  <c r="L300" i="2"/>
  <c r="I300" i="2"/>
  <c r="M300" i="2"/>
  <c r="E300" i="2"/>
  <c r="K300" i="2"/>
  <c r="J300" i="2"/>
  <c r="G300" i="2"/>
  <c r="D300" i="2"/>
  <c r="A300" i="2"/>
  <c r="H300" i="2"/>
  <c r="F300" i="2"/>
  <c r="E80" i="2"/>
  <c r="A80" i="2"/>
  <c r="J413" i="2"/>
  <c r="M413" i="2"/>
  <c r="K413" i="2"/>
  <c r="A413" i="2"/>
  <c r="G413" i="2"/>
  <c r="F413" i="2"/>
  <c r="D413" i="2"/>
  <c r="H413" i="2"/>
  <c r="L413" i="2"/>
  <c r="I413" i="2"/>
  <c r="E413" i="2"/>
  <c r="L261" i="2"/>
  <c r="I261" i="2"/>
  <c r="J261" i="2"/>
  <c r="M261" i="2"/>
  <c r="K261" i="2"/>
  <c r="H261" i="2"/>
  <c r="D261" i="2"/>
  <c r="A261" i="2"/>
  <c r="G261" i="2"/>
  <c r="E261" i="2"/>
  <c r="F261" i="2"/>
  <c r="M236" i="2"/>
  <c r="L236" i="2"/>
  <c r="H236" i="2"/>
  <c r="K236" i="2"/>
  <c r="J236" i="2"/>
  <c r="G236" i="2"/>
  <c r="F236" i="2"/>
  <c r="E236" i="2"/>
  <c r="A236" i="2"/>
  <c r="D236" i="2"/>
  <c r="I236" i="2"/>
  <c r="G186" i="2"/>
  <c r="D186" i="2"/>
  <c r="H186" i="2"/>
  <c r="A186" i="2"/>
  <c r="E186" i="2"/>
  <c r="F186" i="2"/>
  <c r="F135" i="2"/>
  <c r="H135" i="2"/>
  <c r="D135" i="2"/>
  <c r="A135" i="2"/>
  <c r="E135" i="2"/>
  <c r="G135" i="2"/>
  <c r="D172" i="2"/>
  <c r="G35" i="2"/>
  <c r="D35" i="2"/>
  <c r="A35" i="2"/>
  <c r="M288" i="2"/>
  <c r="I288" i="2"/>
  <c r="J288" i="2"/>
  <c r="L288" i="2"/>
  <c r="K288" i="2"/>
  <c r="H288" i="2"/>
  <c r="G288" i="2"/>
  <c r="F288" i="2"/>
  <c r="A288" i="2"/>
  <c r="A24" i="2"/>
  <c r="G24" i="2"/>
  <c r="M281" i="2"/>
  <c r="J281" i="2"/>
  <c r="L281" i="2"/>
  <c r="K281" i="2"/>
  <c r="F281" i="2"/>
  <c r="H281" i="2"/>
  <c r="E281" i="2"/>
  <c r="G281" i="2"/>
  <c r="A281" i="2"/>
  <c r="D281" i="2"/>
  <c r="I281" i="2"/>
  <c r="H278" i="2"/>
  <c r="J278" i="2"/>
  <c r="M278" i="2"/>
  <c r="G278" i="2"/>
  <c r="K278" i="2"/>
  <c r="A278" i="2"/>
  <c r="E278" i="2"/>
  <c r="L278" i="2"/>
  <c r="F278" i="2"/>
  <c r="D278" i="2"/>
  <c r="I278" i="2"/>
  <c r="J275" i="2"/>
  <c r="I275" i="2"/>
  <c r="K275" i="2"/>
  <c r="L275" i="2"/>
  <c r="H275" i="2"/>
  <c r="A275" i="2"/>
  <c r="G275" i="2"/>
  <c r="M275" i="2"/>
  <c r="F275" i="2"/>
  <c r="D275" i="2"/>
  <c r="E275" i="2"/>
  <c r="K272" i="2"/>
  <c r="I272" i="2"/>
  <c r="L272" i="2"/>
  <c r="M272" i="2"/>
  <c r="H272" i="2"/>
  <c r="E272" i="2"/>
  <c r="D272" i="2"/>
  <c r="J272" i="2"/>
  <c r="G272" i="2"/>
  <c r="A272" i="2"/>
  <c r="F272" i="2"/>
  <c r="A45" i="2"/>
  <c r="F45" i="2"/>
  <c r="J385" i="2"/>
  <c r="M385" i="2"/>
  <c r="L385" i="2"/>
  <c r="K385" i="2"/>
  <c r="D385" i="2"/>
  <c r="I385" i="2"/>
  <c r="A385" i="2"/>
  <c r="L237" i="2"/>
  <c r="H237" i="2"/>
  <c r="M237" i="2"/>
  <c r="K237" i="2"/>
  <c r="I237" i="2"/>
  <c r="G237" i="2"/>
  <c r="J237" i="2"/>
  <c r="F237" i="2"/>
  <c r="A237" i="2"/>
  <c r="E237" i="2"/>
  <c r="D237" i="2"/>
  <c r="D212" i="2"/>
  <c r="E212" i="2"/>
  <c r="H212" i="2"/>
  <c r="G212" i="2"/>
  <c r="A212" i="2"/>
  <c r="F212" i="2"/>
  <c r="D161" i="2"/>
  <c r="H161" i="2"/>
  <c r="G161" i="2"/>
  <c r="E161" i="2"/>
  <c r="F161" i="2"/>
  <c r="A161" i="2"/>
  <c r="H109" i="2"/>
  <c r="A109" i="2"/>
  <c r="F109" i="2"/>
  <c r="G109" i="2"/>
  <c r="D109" i="2"/>
  <c r="E109" i="2"/>
  <c r="L291" i="2"/>
  <c r="M291" i="2"/>
  <c r="J291" i="2"/>
  <c r="I291" i="2"/>
  <c r="K291" i="2"/>
  <c r="A291" i="2"/>
  <c r="E291" i="2"/>
  <c r="D291" i="2"/>
  <c r="H142" i="2"/>
  <c r="G142" i="2"/>
  <c r="A142" i="2"/>
  <c r="D142" i="2"/>
  <c r="E142" i="2"/>
  <c r="F142" i="2"/>
  <c r="F489" i="2"/>
  <c r="J489" i="2"/>
  <c r="L489" i="2"/>
  <c r="M489" i="2"/>
  <c r="K489" i="2"/>
  <c r="H489" i="2"/>
  <c r="I489" i="2"/>
  <c r="A489" i="2"/>
  <c r="E489" i="2"/>
  <c r="D489" i="2"/>
  <c r="M256" i="2"/>
  <c r="J256" i="2"/>
  <c r="L256" i="2"/>
  <c r="F256" i="2"/>
  <c r="K256" i="2"/>
  <c r="I256" i="2"/>
  <c r="G256" i="2"/>
  <c r="E256" i="2"/>
  <c r="D256" i="2"/>
  <c r="H256" i="2"/>
  <c r="A256" i="2"/>
  <c r="M486" i="2"/>
  <c r="H486" i="2"/>
  <c r="L486" i="2"/>
  <c r="K486" i="2"/>
  <c r="G486" i="2"/>
  <c r="E486" i="2"/>
  <c r="J486" i="2"/>
  <c r="I486" i="2"/>
  <c r="A486" i="2"/>
  <c r="D486" i="2"/>
  <c r="F486" i="2"/>
  <c r="L253" i="2"/>
  <c r="J253" i="2"/>
  <c r="M253" i="2"/>
  <c r="K253" i="2"/>
  <c r="I253" i="2"/>
  <c r="E253" i="2"/>
  <c r="H253" i="2"/>
  <c r="A253" i="2"/>
  <c r="F253" i="2"/>
  <c r="D253" i="2"/>
  <c r="G253" i="2"/>
  <c r="L483" i="2"/>
  <c r="M483" i="2"/>
  <c r="K483" i="2"/>
  <c r="J483" i="2"/>
  <c r="I483" i="2"/>
  <c r="A483" i="2"/>
  <c r="D483" i="2"/>
  <c r="M250" i="2"/>
  <c r="J250" i="2"/>
  <c r="I250" i="2"/>
  <c r="K250" i="2"/>
  <c r="L250" i="2"/>
  <c r="A250" i="2"/>
  <c r="H250" i="2"/>
  <c r="E250" i="2"/>
  <c r="F250" i="2"/>
  <c r="D250" i="2"/>
  <c r="G250" i="2"/>
  <c r="M480" i="2"/>
  <c r="L480" i="2"/>
  <c r="K480" i="2"/>
  <c r="H480" i="2"/>
  <c r="G480" i="2"/>
  <c r="J480" i="2"/>
  <c r="I480" i="2"/>
  <c r="A480" i="2"/>
  <c r="F480" i="2"/>
  <c r="L247" i="2"/>
  <c r="K247" i="2"/>
  <c r="M247" i="2"/>
  <c r="I247" i="2"/>
  <c r="J247" i="2"/>
  <c r="H247" i="2"/>
  <c r="E247" i="2"/>
  <c r="F247" i="2"/>
  <c r="D247" i="2"/>
  <c r="A247" i="2"/>
  <c r="G247" i="2"/>
  <c r="K473" i="2"/>
  <c r="I473" i="2"/>
  <c r="M473" i="2"/>
  <c r="L473" i="2"/>
  <c r="J473" i="2"/>
  <c r="F473" i="2"/>
  <c r="E473" i="2"/>
  <c r="D473" i="2"/>
  <c r="G473" i="2"/>
  <c r="H473" i="2"/>
  <c r="A473" i="2"/>
  <c r="M244" i="2"/>
  <c r="L244" i="2"/>
  <c r="K244" i="2"/>
  <c r="I244" i="2"/>
  <c r="J244" i="2"/>
  <c r="A10" i="2"/>
  <c r="E10" i="2"/>
  <c r="L353" i="2"/>
  <c r="M353" i="2"/>
  <c r="I353" i="2"/>
  <c r="J353" i="2"/>
  <c r="K353" i="2"/>
  <c r="D353" i="2"/>
  <c r="H353" i="2"/>
  <c r="G353" i="2"/>
  <c r="E353" i="2"/>
  <c r="F353" i="2"/>
  <c r="A353" i="2"/>
  <c r="D213" i="2"/>
  <c r="H213" i="2"/>
  <c r="G213" i="2"/>
  <c r="E213" i="2"/>
  <c r="A213" i="2"/>
  <c r="F213" i="2"/>
  <c r="G187" i="2"/>
  <c r="D187" i="2"/>
  <c r="F187" i="2"/>
  <c r="A187" i="2"/>
  <c r="H187" i="2"/>
  <c r="E187" i="2"/>
  <c r="F136" i="2"/>
  <c r="H136" i="2"/>
  <c r="D136" i="2"/>
  <c r="A136" i="2"/>
  <c r="E136" i="2"/>
  <c r="G136" i="2"/>
  <c r="A83" i="2"/>
  <c r="G83" i="2"/>
  <c r="D383" i="2"/>
  <c r="M383" i="2"/>
  <c r="L383" i="2"/>
  <c r="J383" i="2"/>
  <c r="K383" i="2"/>
  <c r="I383" i="2"/>
  <c r="A383" i="2"/>
  <c r="F383" i="2"/>
  <c r="G383" i="2"/>
  <c r="E383" i="2"/>
  <c r="H175" i="2"/>
  <c r="G175" i="2"/>
  <c r="A175" i="2"/>
  <c r="D175" i="2"/>
  <c r="E175" i="2"/>
  <c r="F175" i="2"/>
  <c r="H202" i="2"/>
  <c r="A202" i="2"/>
  <c r="D202" i="2"/>
  <c r="E202" i="2"/>
  <c r="F202" i="2"/>
  <c r="G202" i="2"/>
  <c r="L264" i="2"/>
  <c r="M264" i="2"/>
  <c r="K264" i="2"/>
  <c r="J264" i="2"/>
  <c r="I264" i="2"/>
  <c r="A264" i="2"/>
  <c r="F264" i="2"/>
  <c r="K461" i="2"/>
  <c r="L461" i="2"/>
  <c r="M461" i="2"/>
  <c r="I461" i="2"/>
  <c r="H461" i="2"/>
  <c r="J461" i="2"/>
  <c r="E461" i="2"/>
  <c r="F461" i="2"/>
  <c r="A461" i="2"/>
  <c r="G461" i="2"/>
  <c r="D461" i="2"/>
  <c r="L228" i="2"/>
  <c r="M228" i="2"/>
  <c r="K228" i="2"/>
  <c r="I228" i="2"/>
  <c r="J228" i="2"/>
  <c r="H228" i="2"/>
  <c r="F228" i="2"/>
  <c r="G228" i="2"/>
  <c r="E228" i="2"/>
  <c r="D228" i="2"/>
  <c r="A228" i="2"/>
  <c r="L458" i="2"/>
  <c r="K458" i="2"/>
  <c r="M458" i="2"/>
  <c r="J458" i="2"/>
  <c r="I458" i="2"/>
  <c r="A458" i="2"/>
  <c r="D458" i="2"/>
  <c r="I225" i="2"/>
  <c r="M225" i="2"/>
  <c r="L225" i="2"/>
  <c r="J225" i="2"/>
  <c r="F225" i="2"/>
  <c r="A225" i="2"/>
  <c r="E225" i="2"/>
  <c r="G225" i="2"/>
  <c r="K225" i="2"/>
  <c r="H225" i="2"/>
  <c r="D225" i="2"/>
  <c r="D455" i="2"/>
  <c r="L455" i="2"/>
  <c r="M455" i="2"/>
  <c r="K455" i="2"/>
  <c r="J455" i="2"/>
  <c r="F455" i="2"/>
  <c r="A455" i="2"/>
  <c r="I455" i="2"/>
  <c r="G455" i="2"/>
  <c r="G222" i="2"/>
  <c r="H222" i="2"/>
  <c r="E222" i="2"/>
  <c r="D222" i="2"/>
  <c r="F222" i="2"/>
  <c r="A222" i="2"/>
  <c r="K448" i="2"/>
  <c r="L448" i="2"/>
  <c r="I448" i="2"/>
  <c r="M448" i="2"/>
  <c r="G448" i="2"/>
  <c r="E448" i="2"/>
  <c r="J448" i="2"/>
  <c r="A448" i="2"/>
  <c r="H448" i="2"/>
  <c r="D448" i="2"/>
  <c r="F448" i="2"/>
  <c r="D219" i="2"/>
  <c r="A219" i="2"/>
  <c r="L445" i="2"/>
  <c r="J445" i="2"/>
  <c r="K445" i="2"/>
  <c r="M445" i="2"/>
  <c r="H445" i="2"/>
  <c r="F445" i="2"/>
  <c r="I445" i="2"/>
  <c r="D445" i="2"/>
  <c r="E445" i="2"/>
  <c r="G445" i="2"/>
  <c r="A445" i="2"/>
  <c r="F216" i="2"/>
  <c r="A216" i="2"/>
  <c r="E325" i="2"/>
  <c r="L325" i="2"/>
  <c r="J325" i="2"/>
  <c r="M325" i="2"/>
  <c r="I325" i="2"/>
  <c r="K325" i="2"/>
  <c r="D325" i="2"/>
  <c r="H325" i="2"/>
  <c r="A325" i="2"/>
  <c r="G325" i="2"/>
  <c r="G214" i="2"/>
  <c r="D214" i="2"/>
  <c r="H214" i="2"/>
  <c r="E214" i="2"/>
  <c r="A214" i="2"/>
  <c r="F214" i="2"/>
  <c r="G188" i="2"/>
  <c r="H188" i="2"/>
  <c r="D188" i="2"/>
  <c r="F188" i="2"/>
  <c r="A188" i="2"/>
  <c r="E188" i="2"/>
  <c r="F162" i="2"/>
  <c r="H162" i="2"/>
  <c r="G162" i="2"/>
  <c r="E162" i="2"/>
  <c r="A162" i="2"/>
  <c r="D162" i="2"/>
  <c r="G110" i="2"/>
  <c r="A110" i="2"/>
  <c r="F110" i="2"/>
  <c r="D110" i="2"/>
  <c r="H110" i="2"/>
  <c r="E110" i="2"/>
  <c r="E57" i="2"/>
  <c r="A57" i="2"/>
  <c r="M491" i="2"/>
  <c r="L491" i="2"/>
  <c r="K491" i="2"/>
  <c r="A491" i="2"/>
  <c r="J491" i="2"/>
  <c r="F491" i="2"/>
  <c r="I491" i="2"/>
  <c r="G491" i="2"/>
  <c r="E491" i="2"/>
  <c r="H491" i="2"/>
  <c r="D491" i="2"/>
  <c r="L294" i="2"/>
  <c r="M294" i="2"/>
  <c r="J294" i="2"/>
  <c r="I294" i="2"/>
  <c r="K294" i="2"/>
  <c r="H294" i="2"/>
  <c r="D294" i="2"/>
  <c r="A294" i="2"/>
  <c r="F294" i="2"/>
  <c r="E294" i="2"/>
  <c r="G294" i="2"/>
  <c r="M319" i="2"/>
  <c r="I319" i="2"/>
  <c r="J319" i="2"/>
  <c r="K319" i="2"/>
  <c r="L319" i="2"/>
  <c r="H319" i="2"/>
  <c r="G319" i="2"/>
  <c r="E319" i="2"/>
  <c r="F319" i="2"/>
  <c r="A319" i="2"/>
  <c r="D319" i="2"/>
  <c r="E483" i="2"/>
  <c r="H191" i="2"/>
  <c r="H193" i="2"/>
  <c r="G244" i="2"/>
  <c r="D432" i="2"/>
  <c r="E313" i="2"/>
  <c r="F108" i="2"/>
  <c r="H108" i="2"/>
  <c r="A108" i="2"/>
  <c r="G108" i="2"/>
  <c r="D108" i="2"/>
  <c r="E108" i="2"/>
  <c r="H374" i="2"/>
  <c r="M374" i="2"/>
  <c r="J374" i="2"/>
  <c r="I374" i="2"/>
  <c r="G374" i="2"/>
  <c r="K374" i="2"/>
  <c r="E374" i="2"/>
  <c r="L374" i="2"/>
  <c r="D374" i="2"/>
  <c r="F374" i="2"/>
  <c r="A374" i="2"/>
  <c r="L433" i="2"/>
  <c r="M433" i="2"/>
  <c r="J433" i="2"/>
  <c r="I433" i="2"/>
  <c r="K433" i="2"/>
  <c r="D433" i="2"/>
  <c r="A433" i="2"/>
  <c r="A199" i="2"/>
  <c r="F199" i="2"/>
  <c r="H199" i="2"/>
  <c r="D199" i="2"/>
  <c r="E199" i="2"/>
  <c r="G199" i="2"/>
  <c r="G430" i="2"/>
  <c r="L430" i="2"/>
  <c r="M430" i="2"/>
  <c r="K430" i="2"/>
  <c r="J430" i="2"/>
  <c r="I430" i="2"/>
  <c r="D430" i="2"/>
  <c r="F430" i="2"/>
  <c r="A430" i="2"/>
  <c r="D196" i="2"/>
  <c r="L423" i="2"/>
  <c r="K423" i="2"/>
  <c r="I423" i="2"/>
  <c r="M423" i="2"/>
  <c r="J423" i="2"/>
  <c r="G423" i="2"/>
  <c r="F423" i="2"/>
  <c r="A423" i="2"/>
  <c r="H423" i="2"/>
  <c r="D423" i="2"/>
  <c r="E423" i="2"/>
  <c r="F192" i="2"/>
  <c r="G192" i="2"/>
  <c r="A192" i="2"/>
  <c r="L420" i="2"/>
  <c r="K420" i="2"/>
  <c r="J420" i="2"/>
  <c r="I420" i="2"/>
  <c r="E420" i="2"/>
  <c r="M420" i="2"/>
  <c r="A420" i="2"/>
  <c r="H420" i="2"/>
  <c r="G420" i="2"/>
  <c r="F420" i="2"/>
  <c r="D420" i="2"/>
  <c r="E184" i="2"/>
  <c r="H184" i="2"/>
  <c r="D184" i="2"/>
  <c r="A184" i="2"/>
  <c r="G184" i="2"/>
  <c r="F184" i="2"/>
  <c r="L417" i="2"/>
  <c r="K417" i="2"/>
  <c r="J417" i="2"/>
  <c r="E417" i="2"/>
  <c r="I417" i="2"/>
  <c r="H417" i="2"/>
  <c r="M417" i="2"/>
  <c r="G417" i="2"/>
  <c r="F417" i="2"/>
  <c r="D417" i="2"/>
  <c r="A417" i="2"/>
  <c r="E181" i="2"/>
  <c r="H181" i="2"/>
  <c r="A181" i="2"/>
  <c r="G181" i="2"/>
  <c r="D181" i="2"/>
  <c r="F181" i="2"/>
  <c r="H470" i="2"/>
  <c r="M470" i="2"/>
  <c r="I470" i="2"/>
  <c r="K470" i="2"/>
  <c r="F470" i="2"/>
  <c r="J470" i="2"/>
  <c r="L470" i="2"/>
  <c r="E470" i="2"/>
  <c r="D470" i="2"/>
  <c r="A470" i="2"/>
  <c r="L297" i="2"/>
  <c r="M297" i="2"/>
  <c r="K297" i="2"/>
  <c r="J297" i="2"/>
  <c r="D297" i="2"/>
  <c r="I297" i="2"/>
  <c r="F297" i="2"/>
  <c r="H297" i="2"/>
  <c r="A297" i="2"/>
  <c r="E297" i="2"/>
  <c r="G297" i="2"/>
  <c r="H189" i="2"/>
  <c r="G189" i="2"/>
  <c r="F189" i="2"/>
  <c r="D189" i="2"/>
  <c r="A189" i="2"/>
  <c r="E189" i="2"/>
  <c r="F163" i="2"/>
  <c r="H163" i="2"/>
  <c r="E163" i="2"/>
  <c r="A163" i="2"/>
  <c r="G163" i="2"/>
  <c r="D163" i="2"/>
  <c r="F137" i="2"/>
  <c r="H137" i="2"/>
  <c r="D137" i="2"/>
  <c r="A137" i="2"/>
  <c r="E137" i="2"/>
  <c r="G137" i="2"/>
  <c r="D84" i="2"/>
  <c r="A84" i="2"/>
  <c r="A194" i="2"/>
  <c r="D194" i="2"/>
  <c r="D407" i="2"/>
  <c r="M407" i="2"/>
  <c r="J407" i="2"/>
  <c r="I407" i="2"/>
  <c r="L407" i="2"/>
  <c r="K407" i="2"/>
  <c r="E407" i="2"/>
  <c r="A407" i="2"/>
  <c r="J410" i="2"/>
  <c r="M410" i="2"/>
  <c r="K410" i="2"/>
  <c r="I410" i="2"/>
  <c r="L410" i="2"/>
  <c r="D410" i="2"/>
  <c r="E410" i="2"/>
  <c r="A410" i="2"/>
  <c r="E432" i="2"/>
  <c r="F313" i="2"/>
  <c r="F338" i="2"/>
  <c r="D239" i="2"/>
  <c r="K239" i="2"/>
  <c r="L239" i="2"/>
  <c r="M239" i="2"/>
  <c r="I239" i="2"/>
  <c r="E239" i="2"/>
  <c r="J239" i="2"/>
  <c r="A239" i="2"/>
  <c r="J465" i="2"/>
  <c r="K465" i="2"/>
  <c r="L465" i="2"/>
  <c r="A465" i="2"/>
  <c r="M465" i="2"/>
  <c r="I465" i="2"/>
  <c r="E465" i="2"/>
  <c r="G465" i="2"/>
  <c r="H465" i="2"/>
  <c r="D465" i="2"/>
  <c r="F465" i="2"/>
  <c r="M401" i="2"/>
  <c r="I401" i="2"/>
  <c r="H401" i="2"/>
  <c r="L401" i="2"/>
  <c r="K401" i="2"/>
  <c r="E401" i="2"/>
  <c r="A401" i="2"/>
  <c r="D401" i="2"/>
  <c r="F401" i="2"/>
  <c r="J401" i="2"/>
  <c r="G401" i="2"/>
  <c r="A168" i="2"/>
  <c r="H398" i="2"/>
  <c r="J398" i="2"/>
  <c r="K398" i="2"/>
  <c r="I398" i="2"/>
  <c r="L398" i="2"/>
  <c r="G398" i="2"/>
  <c r="M398" i="2"/>
  <c r="A398" i="2"/>
  <c r="E398" i="2"/>
  <c r="F398" i="2"/>
  <c r="D398" i="2"/>
  <c r="F165" i="2"/>
  <c r="H165" i="2"/>
  <c r="D165" i="2"/>
  <c r="A165" i="2"/>
  <c r="E165" i="2"/>
  <c r="G165" i="2"/>
  <c r="L395" i="2"/>
  <c r="K395" i="2"/>
  <c r="J395" i="2"/>
  <c r="M395" i="2"/>
  <c r="H395" i="2"/>
  <c r="I395" i="2"/>
  <c r="E395" i="2"/>
  <c r="A395" i="2"/>
  <c r="D395" i="2"/>
  <c r="G395" i="2"/>
  <c r="F395" i="2"/>
  <c r="G157" i="2"/>
  <c r="H157" i="2"/>
  <c r="A157" i="2"/>
  <c r="F157" i="2"/>
  <c r="E157" i="2"/>
  <c r="D157" i="2"/>
  <c r="K392" i="2"/>
  <c r="I392" i="2"/>
  <c r="L392" i="2"/>
  <c r="J392" i="2"/>
  <c r="M392" i="2"/>
  <c r="H392" i="2"/>
  <c r="E392" i="2"/>
  <c r="F392" i="2"/>
  <c r="G392" i="2"/>
  <c r="D392" i="2"/>
  <c r="A392" i="2"/>
  <c r="H154" i="2"/>
  <c r="E154" i="2"/>
  <c r="G154" i="2"/>
  <c r="F154" i="2"/>
  <c r="D154" i="2"/>
  <c r="A154" i="2"/>
  <c r="K389" i="2"/>
  <c r="L389" i="2"/>
  <c r="M389" i="2"/>
  <c r="J389" i="2"/>
  <c r="I389" i="2"/>
  <c r="A389" i="2"/>
  <c r="D389" i="2"/>
  <c r="G389" i="2"/>
  <c r="E389" i="2"/>
  <c r="H389" i="2"/>
  <c r="F389" i="2"/>
  <c r="G151" i="2"/>
  <c r="F151" i="2"/>
  <c r="H151" i="2"/>
  <c r="A151" i="2"/>
  <c r="D151" i="2"/>
  <c r="E151" i="2"/>
  <c r="M442" i="2"/>
  <c r="K442" i="2"/>
  <c r="J442" i="2"/>
  <c r="L442" i="2"/>
  <c r="F442" i="2"/>
  <c r="D442" i="2"/>
  <c r="H442" i="2"/>
  <c r="I442" i="2"/>
  <c r="E442" i="2"/>
  <c r="A442" i="2"/>
  <c r="G442" i="2"/>
  <c r="K269" i="2"/>
  <c r="I269" i="2"/>
  <c r="D269" i="2"/>
  <c r="M269" i="2"/>
  <c r="J269" i="2"/>
  <c r="F269" i="2"/>
  <c r="L269" i="2"/>
  <c r="A269" i="2"/>
  <c r="H269" i="2"/>
  <c r="G269" i="2"/>
  <c r="E269" i="2"/>
  <c r="F164" i="2"/>
  <c r="H164" i="2"/>
  <c r="D164" i="2"/>
  <c r="A164" i="2"/>
  <c r="E164" i="2"/>
  <c r="G164" i="2"/>
  <c r="H138" i="2"/>
  <c r="A138" i="2"/>
  <c r="D138" i="2"/>
  <c r="E138" i="2"/>
  <c r="F138" i="2"/>
  <c r="G138" i="2"/>
  <c r="G111" i="2"/>
  <c r="F111" i="2"/>
  <c r="A111" i="2"/>
  <c r="D111" i="2"/>
  <c r="H111" i="2"/>
  <c r="E111" i="2"/>
  <c r="A58" i="2"/>
  <c r="E58" i="2"/>
  <c r="A170" i="2"/>
  <c r="D170" i="2"/>
  <c r="H494" i="2"/>
  <c r="M494" i="2"/>
  <c r="L494" i="2"/>
  <c r="K494" i="2"/>
  <c r="J494" i="2"/>
  <c r="F494" i="2"/>
  <c r="I494" i="2"/>
  <c r="A494" i="2"/>
  <c r="G494" i="2"/>
  <c r="H69" i="2"/>
  <c r="D18" i="2"/>
  <c r="D362" i="2"/>
  <c r="A316" i="2"/>
  <c r="H385" i="2"/>
  <c r="H360" i="2"/>
  <c r="D168" i="2"/>
  <c r="D456" i="2"/>
  <c r="G338" i="2"/>
  <c r="H350" i="2"/>
  <c r="L350" i="2"/>
  <c r="J350" i="2"/>
  <c r="M350" i="2"/>
  <c r="I350" i="2"/>
  <c r="K350" i="2"/>
  <c r="A350" i="2"/>
  <c r="D350" i="2"/>
  <c r="H373" i="2"/>
  <c r="L373" i="2"/>
  <c r="J373" i="2"/>
  <c r="K373" i="2"/>
  <c r="I373" i="2"/>
  <c r="M373" i="2"/>
  <c r="D373" i="2"/>
  <c r="G373" i="2"/>
  <c r="F373" i="2"/>
  <c r="A373" i="2"/>
  <c r="E373" i="2"/>
  <c r="F133" i="2"/>
  <c r="D133" i="2"/>
  <c r="H133" i="2"/>
  <c r="A133" i="2"/>
  <c r="E133" i="2"/>
  <c r="G133" i="2"/>
  <c r="G370" i="2"/>
  <c r="M370" i="2"/>
  <c r="I370" i="2"/>
  <c r="K370" i="2"/>
  <c r="L370" i="2"/>
  <c r="H370" i="2"/>
  <c r="J370" i="2"/>
  <c r="A370" i="2"/>
  <c r="D370" i="2"/>
  <c r="F370" i="2"/>
  <c r="E370" i="2"/>
  <c r="G130" i="2"/>
  <c r="H130" i="2"/>
  <c r="D130" i="2"/>
  <c r="E130" i="2"/>
  <c r="F130" i="2"/>
  <c r="A130" i="2"/>
  <c r="L367" i="2"/>
  <c r="H367" i="2"/>
  <c r="M367" i="2"/>
  <c r="K367" i="2"/>
  <c r="J367" i="2"/>
  <c r="F367" i="2"/>
  <c r="A367" i="2"/>
  <c r="G367" i="2"/>
  <c r="E367" i="2"/>
  <c r="I367" i="2"/>
  <c r="D367" i="2"/>
  <c r="H127" i="2"/>
  <c r="E127" i="2"/>
  <c r="G127" i="2"/>
  <c r="F127" i="2"/>
  <c r="A127" i="2"/>
  <c r="D127" i="2"/>
  <c r="M364" i="2"/>
  <c r="J364" i="2"/>
  <c r="L364" i="2"/>
  <c r="K364" i="2"/>
  <c r="I364" i="2"/>
  <c r="E123" i="2"/>
  <c r="D123" i="2"/>
  <c r="A123" i="2"/>
  <c r="K361" i="2"/>
  <c r="J361" i="2"/>
  <c r="L361" i="2"/>
  <c r="M361" i="2"/>
  <c r="I361" i="2"/>
  <c r="A361" i="2"/>
  <c r="A118" i="2"/>
  <c r="F118" i="2"/>
  <c r="E118" i="2"/>
  <c r="G118" i="2"/>
  <c r="D118" i="2"/>
  <c r="H118" i="2"/>
  <c r="M414" i="2"/>
  <c r="J414" i="2"/>
  <c r="K414" i="2"/>
  <c r="A414" i="2"/>
  <c r="G414" i="2"/>
  <c r="F414" i="2"/>
  <c r="D414" i="2"/>
  <c r="H414" i="2"/>
  <c r="L414" i="2"/>
  <c r="I414" i="2"/>
  <c r="E414" i="2"/>
  <c r="K241" i="2"/>
  <c r="L241" i="2"/>
  <c r="M241" i="2"/>
  <c r="I241" i="2"/>
  <c r="D241" i="2"/>
  <c r="J241" i="2"/>
  <c r="A241" i="2"/>
  <c r="H139" i="2"/>
  <c r="D139" i="2"/>
  <c r="A139" i="2"/>
  <c r="E139" i="2"/>
  <c r="F139" i="2"/>
  <c r="G139" i="2"/>
  <c r="G112" i="2"/>
  <c r="F112" i="2"/>
  <c r="A112" i="2"/>
  <c r="D112" i="2"/>
  <c r="H112" i="2"/>
  <c r="E112" i="2"/>
  <c r="D85" i="2"/>
  <c r="A85" i="2"/>
  <c r="A146" i="2"/>
  <c r="D146" i="2"/>
  <c r="H146" i="2"/>
  <c r="E70" i="2"/>
  <c r="E37" i="2"/>
  <c r="D10" i="2"/>
  <c r="G168" i="2"/>
  <c r="G335" i="2"/>
  <c r="E168" i="2"/>
  <c r="F362" i="2"/>
  <c r="F171" i="2"/>
  <c r="F363" i="2"/>
  <c r="J462" i="2"/>
  <c r="K462" i="2"/>
  <c r="I462" i="2"/>
  <c r="H462" i="2"/>
  <c r="M462" i="2"/>
  <c r="L462" i="2"/>
  <c r="F462" i="2"/>
  <c r="A462" i="2"/>
  <c r="E462" i="2"/>
  <c r="G462" i="2"/>
  <c r="D462" i="2"/>
  <c r="M345" i="2"/>
  <c r="J345" i="2"/>
  <c r="I345" i="2"/>
  <c r="K345" i="2"/>
  <c r="L345" i="2"/>
  <c r="F345" i="2"/>
  <c r="H345" i="2"/>
  <c r="D345" i="2"/>
  <c r="A345" i="2"/>
  <c r="E345" i="2"/>
  <c r="G345" i="2"/>
  <c r="H101" i="2"/>
  <c r="G101" i="2"/>
  <c r="D101" i="2"/>
  <c r="E101" i="2"/>
  <c r="F101" i="2"/>
  <c r="A101" i="2"/>
  <c r="M342" i="2"/>
  <c r="K342" i="2"/>
  <c r="L342" i="2"/>
  <c r="G342" i="2"/>
  <c r="J342" i="2"/>
  <c r="I342" i="2"/>
  <c r="D342" i="2"/>
  <c r="A342" i="2"/>
  <c r="F342" i="2"/>
  <c r="E342" i="2"/>
  <c r="H342" i="2"/>
  <c r="E96" i="2"/>
  <c r="H96" i="2"/>
  <c r="A96" i="2"/>
  <c r="F96" i="2"/>
  <c r="G96" i="2"/>
  <c r="K339" i="2"/>
  <c r="L339" i="2"/>
  <c r="J339" i="2"/>
  <c r="I339" i="2"/>
  <c r="M339" i="2"/>
  <c r="D339" i="2"/>
  <c r="A92" i="2"/>
  <c r="H92" i="2"/>
  <c r="E92" i="2"/>
  <c r="G92" i="2"/>
  <c r="F92" i="2"/>
  <c r="D92" i="2"/>
  <c r="L336" i="2"/>
  <c r="J336" i="2"/>
  <c r="I336" i="2"/>
  <c r="M336" i="2"/>
  <c r="K336" i="2"/>
  <c r="A336" i="2"/>
  <c r="H336" i="2"/>
  <c r="D89" i="2"/>
  <c r="A89" i="2"/>
  <c r="L329" i="2"/>
  <c r="H329" i="2"/>
  <c r="J329" i="2"/>
  <c r="M329" i="2"/>
  <c r="I329" i="2"/>
  <c r="E329" i="2"/>
  <c r="K329" i="2"/>
  <c r="D329" i="2"/>
  <c r="A329" i="2"/>
  <c r="F329" i="2"/>
  <c r="G329" i="2"/>
  <c r="E81" i="2"/>
  <c r="A81" i="2"/>
  <c r="L386" i="2"/>
  <c r="J386" i="2"/>
  <c r="M386" i="2"/>
  <c r="K386" i="2"/>
  <c r="D386" i="2"/>
  <c r="I386" i="2"/>
  <c r="A386" i="2"/>
  <c r="E386" i="2"/>
  <c r="E208" i="2"/>
  <c r="G208" i="2"/>
  <c r="H208" i="2"/>
  <c r="A208" i="2"/>
  <c r="F208" i="2"/>
  <c r="D208" i="2"/>
  <c r="G113" i="2"/>
  <c r="F113" i="2"/>
  <c r="A113" i="2"/>
  <c r="D113" i="2"/>
  <c r="H113" i="2"/>
  <c r="E113" i="2"/>
  <c r="D86" i="2"/>
  <c r="A86" i="2"/>
  <c r="G59" i="2"/>
  <c r="A59" i="2"/>
  <c r="E124" i="2"/>
  <c r="H122" i="2"/>
  <c r="A122" i="2"/>
  <c r="D50" i="2"/>
  <c r="E144" i="2"/>
  <c r="A144" i="2"/>
  <c r="G144" i="2"/>
  <c r="F144" i="2"/>
  <c r="H144" i="2"/>
  <c r="H62" i="2"/>
  <c r="D388" i="2"/>
  <c r="G91" i="2"/>
  <c r="H91" i="2"/>
  <c r="F18" i="2"/>
  <c r="F13" i="2"/>
  <c r="D13" i="2"/>
  <c r="F62" i="2"/>
  <c r="D99" i="2"/>
  <c r="G216" i="2"/>
  <c r="G360" i="2"/>
  <c r="D192" i="2"/>
  <c r="D480" i="2"/>
  <c r="G171" i="2"/>
  <c r="G363" i="2"/>
  <c r="M317" i="2"/>
  <c r="I317" i="2"/>
  <c r="J317" i="2"/>
  <c r="K317" i="2"/>
  <c r="F317" i="2"/>
  <c r="L317" i="2"/>
  <c r="H317" i="2"/>
  <c r="E317" i="2"/>
  <c r="G317" i="2"/>
  <c r="A317" i="2"/>
  <c r="D317" i="2"/>
  <c r="A66" i="2"/>
  <c r="D66" i="2"/>
  <c r="M314" i="2"/>
  <c r="J314" i="2"/>
  <c r="K314" i="2"/>
  <c r="L314" i="2"/>
  <c r="H314" i="2"/>
  <c r="I314" i="2"/>
  <c r="E314" i="2"/>
  <c r="D314" i="2"/>
  <c r="A63" i="2"/>
  <c r="D63" i="2"/>
  <c r="D311" i="2"/>
  <c r="M311" i="2"/>
  <c r="K311" i="2"/>
  <c r="L311" i="2"/>
  <c r="J311" i="2"/>
  <c r="H311" i="2"/>
  <c r="F311" i="2"/>
  <c r="I311" i="2"/>
  <c r="E311" i="2"/>
  <c r="G311" i="2"/>
  <c r="A311" i="2"/>
  <c r="F55" i="2"/>
  <c r="E55" i="2"/>
  <c r="A55" i="2"/>
  <c r="D55" i="2"/>
  <c r="K304" i="2"/>
  <c r="G304" i="2"/>
  <c r="H304" i="2"/>
  <c r="M304" i="2"/>
  <c r="L304" i="2"/>
  <c r="I304" i="2"/>
  <c r="A304" i="2"/>
  <c r="D304" i="2"/>
  <c r="J304" i="2"/>
  <c r="E304" i="2"/>
  <c r="F304" i="2"/>
  <c r="D49" i="2"/>
  <c r="A49" i="2"/>
  <c r="L301" i="2"/>
  <c r="J301" i="2"/>
  <c r="K301" i="2"/>
  <c r="I301" i="2"/>
  <c r="H301" i="2"/>
  <c r="M301" i="2"/>
  <c r="E301" i="2"/>
  <c r="G301" i="2"/>
  <c r="D301" i="2"/>
  <c r="A301" i="2"/>
  <c r="F301" i="2"/>
  <c r="A46" i="2"/>
  <c r="F46" i="2"/>
  <c r="G358" i="2"/>
  <c r="J358" i="2"/>
  <c r="L358" i="2"/>
  <c r="M358" i="2"/>
  <c r="K358" i="2"/>
  <c r="E358" i="2"/>
  <c r="I358" i="2"/>
  <c r="A358" i="2"/>
  <c r="D358" i="2"/>
  <c r="F358" i="2"/>
  <c r="G178" i="2"/>
  <c r="F178" i="2"/>
  <c r="H178" i="2"/>
  <c r="A178" i="2"/>
  <c r="D178" i="2"/>
  <c r="E178" i="2"/>
  <c r="E120" i="2"/>
  <c r="A120" i="2"/>
  <c r="F120" i="2"/>
  <c r="G120" i="2"/>
  <c r="H120" i="2"/>
  <c r="D87" i="2"/>
  <c r="A87" i="2"/>
  <c r="D60" i="2"/>
  <c r="A60" i="2"/>
  <c r="D32" i="2"/>
  <c r="A32" i="2"/>
  <c r="H98" i="2"/>
  <c r="D98" i="2"/>
  <c r="A98" i="2"/>
  <c r="L266" i="2"/>
  <c r="K266" i="2"/>
  <c r="J266" i="2"/>
  <c r="M266" i="2"/>
  <c r="I266" i="2"/>
  <c r="D266" i="2"/>
  <c r="A266" i="2"/>
  <c r="H173" i="2"/>
  <c r="A173" i="2"/>
  <c r="D173" i="2"/>
  <c r="G173" i="2"/>
  <c r="E173" i="2"/>
  <c r="F173" i="2"/>
  <c r="M289" i="2"/>
  <c r="I289" i="2"/>
  <c r="J289" i="2"/>
  <c r="L289" i="2"/>
  <c r="K289" i="2"/>
  <c r="D289" i="2"/>
  <c r="G289" i="2"/>
  <c r="A289" i="2"/>
  <c r="A25" i="2"/>
  <c r="G25" i="2"/>
  <c r="M286" i="2"/>
  <c r="I286" i="2"/>
  <c r="J286" i="2"/>
  <c r="L286" i="2"/>
  <c r="K286" i="2"/>
  <c r="H286" i="2"/>
  <c r="G286" i="2"/>
  <c r="D286" i="2"/>
  <c r="F286" i="2"/>
  <c r="E286" i="2"/>
  <c r="A286" i="2"/>
  <c r="A22" i="2"/>
  <c r="H22" i="2"/>
  <c r="L279" i="2"/>
  <c r="J279" i="2"/>
  <c r="M279" i="2"/>
  <c r="K279" i="2"/>
  <c r="H279" i="2"/>
  <c r="G279" i="2"/>
  <c r="E279" i="2"/>
  <c r="F279" i="2"/>
  <c r="D279" i="2"/>
  <c r="I279" i="2"/>
  <c r="A279" i="2"/>
  <c r="J276" i="2"/>
  <c r="I276" i="2"/>
  <c r="K276" i="2"/>
  <c r="H276" i="2"/>
  <c r="A276" i="2"/>
  <c r="G276" i="2"/>
  <c r="M276" i="2"/>
  <c r="E276" i="2"/>
  <c r="L276" i="2"/>
  <c r="F276" i="2"/>
  <c r="D276" i="2"/>
  <c r="A16" i="2"/>
  <c r="F16" i="2"/>
  <c r="L273" i="2"/>
  <c r="K273" i="2"/>
  <c r="M273" i="2"/>
  <c r="I273" i="2"/>
  <c r="H273" i="2"/>
  <c r="G273" i="2"/>
  <c r="E273" i="2"/>
  <c r="J273" i="2"/>
  <c r="D273" i="2"/>
  <c r="A273" i="2"/>
  <c r="F273" i="2"/>
  <c r="A11" i="2"/>
  <c r="G11" i="2"/>
  <c r="H326" i="2"/>
  <c r="J326" i="2"/>
  <c r="L326" i="2"/>
  <c r="I326" i="2"/>
  <c r="M326" i="2"/>
  <c r="K326" i="2"/>
  <c r="D326" i="2"/>
  <c r="A326" i="2"/>
  <c r="G326" i="2"/>
  <c r="E148" i="2"/>
  <c r="A94" i="2"/>
  <c r="H94" i="2"/>
  <c r="E94" i="2"/>
  <c r="D94" i="2"/>
  <c r="F94" i="2"/>
  <c r="G94" i="2"/>
  <c r="D61" i="2"/>
  <c r="A61" i="2"/>
  <c r="E33" i="2"/>
  <c r="F33" i="2"/>
  <c r="D33" i="2"/>
  <c r="A33" i="2"/>
  <c r="M498" i="2"/>
  <c r="K498" i="2"/>
  <c r="I498" i="2"/>
  <c r="G498" i="2"/>
  <c r="L498" i="2"/>
  <c r="H498" i="2"/>
  <c r="J498" i="2"/>
  <c r="F498" i="2"/>
  <c r="A498" i="2"/>
  <c r="E498" i="2"/>
  <c r="D498" i="2"/>
  <c r="M376" i="2"/>
  <c r="I376" i="2"/>
  <c r="L376" i="2"/>
  <c r="K376" i="2"/>
  <c r="F376" i="2"/>
  <c r="G376" i="2"/>
  <c r="J376" i="2"/>
  <c r="D376" i="2"/>
  <c r="A376" i="2"/>
  <c r="E376" i="2"/>
  <c r="H376" i="2"/>
  <c r="F292" i="2"/>
  <c r="L292" i="2"/>
  <c r="M292" i="2"/>
  <c r="J292" i="2"/>
  <c r="I292" i="2"/>
  <c r="K292" i="2"/>
  <c r="G176" i="2"/>
  <c r="H176" i="2"/>
  <c r="A176" i="2"/>
  <c r="D176" i="2"/>
  <c r="E176" i="2"/>
  <c r="F176" i="2"/>
  <c r="H114" i="2"/>
  <c r="G114" i="2"/>
  <c r="E114" i="2"/>
  <c r="F114" i="2"/>
  <c r="A114" i="2"/>
  <c r="D114" i="2"/>
  <c r="M257" i="2"/>
  <c r="I257" i="2"/>
  <c r="J257" i="2"/>
  <c r="L257" i="2"/>
  <c r="F257" i="2"/>
  <c r="K257" i="2"/>
  <c r="G257" i="2"/>
  <c r="E257" i="2"/>
  <c r="H257" i="2"/>
  <c r="D257" i="2"/>
  <c r="A257" i="2"/>
  <c r="J487" i="2"/>
  <c r="M487" i="2"/>
  <c r="L487" i="2"/>
  <c r="K487" i="2"/>
  <c r="H487" i="2"/>
  <c r="G487" i="2"/>
  <c r="I487" i="2"/>
  <c r="F487" i="2"/>
  <c r="A487" i="2"/>
  <c r="E487" i="2"/>
  <c r="D487" i="2"/>
  <c r="H254" i="2"/>
  <c r="J254" i="2"/>
  <c r="M254" i="2"/>
  <c r="L254" i="2"/>
  <c r="K254" i="2"/>
  <c r="F254" i="2"/>
  <c r="I254" i="2"/>
  <c r="D254" i="2"/>
  <c r="E254" i="2"/>
  <c r="A254" i="2"/>
  <c r="G254" i="2"/>
  <c r="D484" i="2"/>
  <c r="L484" i="2"/>
  <c r="M484" i="2"/>
  <c r="K484" i="2"/>
  <c r="J484" i="2"/>
  <c r="I484" i="2"/>
  <c r="M251" i="2"/>
  <c r="J251" i="2"/>
  <c r="I251" i="2"/>
  <c r="L251" i="2"/>
  <c r="K251" i="2"/>
  <c r="A251" i="2"/>
  <c r="H251" i="2"/>
  <c r="E251" i="2"/>
  <c r="F251" i="2"/>
  <c r="D251" i="2"/>
  <c r="G251" i="2"/>
  <c r="L481" i="2"/>
  <c r="M481" i="2"/>
  <c r="K481" i="2"/>
  <c r="I481" i="2"/>
  <c r="G481" i="2"/>
  <c r="J481" i="2"/>
  <c r="A481" i="2"/>
  <c r="D481" i="2"/>
  <c r="K248" i="2"/>
  <c r="I248" i="2"/>
  <c r="L248" i="2"/>
  <c r="J248" i="2"/>
  <c r="G248" i="2"/>
  <c r="M248" i="2"/>
  <c r="H248" i="2"/>
  <c r="E248" i="2"/>
  <c r="F248" i="2"/>
  <c r="A248" i="2"/>
  <c r="D248" i="2"/>
  <c r="L478" i="2"/>
  <c r="K478" i="2"/>
  <c r="H478" i="2"/>
  <c r="E478" i="2"/>
  <c r="M478" i="2"/>
  <c r="J478" i="2"/>
  <c r="I478" i="2"/>
  <c r="A478" i="2"/>
  <c r="G478" i="2"/>
  <c r="D478" i="2"/>
  <c r="F478" i="2"/>
  <c r="L245" i="2"/>
  <c r="K245" i="2"/>
  <c r="M245" i="2"/>
  <c r="J245" i="2"/>
  <c r="G245" i="2"/>
  <c r="E245" i="2"/>
  <c r="D245" i="2"/>
  <c r="I245" i="2"/>
  <c r="H245" i="2"/>
  <c r="F245" i="2"/>
  <c r="A245" i="2"/>
  <c r="L298" i="2"/>
  <c r="M298" i="2"/>
  <c r="K298" i="2"/>
  <c r="I298" i="2"/>
  <c r="J298" i="2"/>
  <c r="E298" i="2"/>
  <c r="D298" i="2"/>
  <c r="A298" i="2"/>
  <c r="H298" i="2"/>
  <c r="F298" i="2"/>
  <c r="G298" i="2"/>
  <c r="H115" i="2"/>
  <c r="F115" i="2"/>
  <c r="E115" i="2"/>
  <c r="A115" i="2"/>
  <c r="G115" i="2"/>
  <c r="D115" i="2"/>
  <c r="F68" i="2"/>
  <c r="A68" i="2"/>
  <c r="E34" i="2"/>
  <c r="D34" i="2"/>
  <c r="A34" i="2"/>
  <c r="M474" i="2"/>
  <c r="I474" i="2"/>
  <c r="L474" i="2"/>
  <c r="J474" i="2"/>
  <c r="K474" i="2"/>
  <c r="F474" i="2"/>
  <c r="G474" i="2"/>
  <c r="D474" i="2"/>
  <c r="E474" i="2"/>
  <c r="H474" i="2"/>
  <c r="A474" i="2"/>
  <c r="M467" i="2"/>
  <c r="I467" i="2"/>
  <c r="J467" i="2"/>
  <c r="D467" i="2"/>
  <c r="L467" i="2"/>
  <c r="G467" i="2"/>
  <c r="A467" i="2"/>
  <c r="K467" i="2"/>
  <c r="H467" i="2"/>
  <c r="F467" i="2"/>
  <c r="E467" i="2"/>
  <c r="J384" i="2"/>
  <c r="M384" i="2"/>
  <c r="L384" i="2"/>
  <c r="K384" i="2"/>
  <c r="I384" i="2"/>
  <c r="F384" i="2"/>
  <c r="G384" i="2"/>
  <c r="A384" i="2"/>
  <c r="K295" i="2"/>
  <c r="L295" i="2"/>
  <c r="M295" i="2"/>
  <c r="J295" i="2"/>
  <c r="I295" i="2"/>
  <c r="H295" i="2"/>
  <c r="D295" i="2"/>
  <c r="A295" i="2"/>
  <c r="F295" i="2"/>
  <c r="E295" i="2"/>
  <c r="G295" i="2"/>
  <c r="H203" i="2"/>
  <c r="G203" i="2"/>
  <c r="A203" i="2"/>
  <c r="D203" i="2"/>
  <c r="E203" i="2"/>
  <c r="F203" i="2"/>
  <c r="K240" i="2"/>
  <c r="L240" i="2"/>
  <c r="M240" i="2"/>
  <c r="I240" i="2"/>
  <c r="J240" i="2"/>
  <c r="A240" i="2"/>
  <c r="L229" i="2"/>
  <c r="J229" i="2"/>
  <c r="K229" i="2"/>
  <c r="I229" i="2"/>
  <c r="M229" i="2"/>
  <c r="H229" i="2"/>
  <c r="D229" i="2"/>
  <c r="A229" i="2"/>
  <c r="G229" i="2"/>
  <c r="E229" i="2"/>
  <c r="F229" i="2"/>
  <c r="L459" i="2"/>
  <c r="K459" i="2"/>
  <c r="M459" i="2"/>
  <c r="I459" i="2"/>
  <c r="J459" i="2"/>
  <c r="A459" i="2"/>
  <c r="D459" i="2"/>
  <c r="I226" i="2"/>
  <c r="M226" i="2"/>
  <c r="L226" i="2"/>
  <c r="J226" i="2"/>
  <c r="K226" i="2"/>
  <c r="F226" i="2"/>
  <c r="A226" i="2"/>
  <c r="G226" i="2"/>
  <c r="H226" i="2"/>
  <c r="E226" i="2"/>
  <c r="D226" i="2"/>
  <c r="L456" i="2"/>
  <c r="M456" i="2"/>
  <c r="K456" i="2"/>
  <c r="J456" i="2"/>
  <c r="A456" i="2"/>
  <c r="I456" i="2"/>
  <c r="F456" i="2"/>
  <c r="A223" i="2"/>
  <c r="G223" i="2"/>
  <c r="D223" i="2"/>
  <c r="H223" i="2"/>
  <c r="E223" i="2"/>
  <c r="F223" i="2"/>
  <c r="L449" i="2"/>
  <c r="I449" i="2"/>
  <c r="K449" i="2"/>
  <c r="M449" i="2"/>
  <c r="G449" i="2"/>
  <c r="E449" i="2"/>
  <c r="H449" i="2"/>
  <c r="J449" i="2"/>
  <c r="F449" i="2"/>
  <c r="A449" i="2"/>
  <c r="D449" i="2"/>
  <c r="D220" i="2"/>
  <c r="H446" i="2"/>
  <c r="K446" i="2"/>
  <c r="J446" i="2"/>
  <c r="M446" i="2"/>
  <c r="L446" i="2"/>
  <c r="I446" i="2"/>
  <c r="D446" i="2"/>
  <c r="E446" i="2"/>
  <c r="A446" i="2"/>
  <c r="D217" i="2"/>
  <c r="G217" i="2"/>
  <c r="H217" i="2"/>
  <c r="A217" i="2"/>
  <c r="L471" i="2"/>
  <c r="K471" i="2"/>
  <c r="M471" i="2"/>
  <c r="G471" i="2"/>
  <c r="F471" i="2"/>
  <c r="J471" i="2"/>
  <c r="I471" i="2"/>
  <c r="E471" i="2"/>
  <c r="D471" i="2"/>
  <c r="A471" i="2"/>
  <c r="H471" i="2"/>
  <c r="M270" i="2"/>
  <c r="K270" i="2"/>
  <c r="I270" i="2"/>
  <c r="E270" i="2"/>
  <c r="D270" i="2"/>
  <c r="J270" i="2"/>
  <c r="L270" i="2"/>
  <c r="H270" i="2"/>
  <c r="G270" i="2"/>
  <c r="A270" i="2"/>
  <c r="F270" i="2"/>
  <c r="E78" i="2"/>
  <c r="G78" i="2"/>
  <c r="A78" i="2"/>
  <c r="M499" i="2"/>
  <c r="I499" i="2"/>
  <c r="K499" i="2"/>
  <c r="L499" i="2"/>
  <c r="H499" i="2"/>
  <c r="J499" i="2"/>
  <c r="A499" i="2"/>
  <c r="F499" i="2"/>
  <c r="G499" i="2"/>
  <c r="D499" i="2"/>
  <c r="E499" i="2"/>
  <c r="M450" i="2"/>
  <c r="L450" i="2"/>
  <c r="I450" i="2"/>
  <c r="K450" i="2"/>
  <c r="G450" i="2"/>
  <c r="E450" i="2"/>
  <c r="H450" i="2"/>
  <c r="J450" i="2"/>
  <c r="A450" i="2"/>
  <c r="F450" i="2"/>
  <c r="D450" i="2"/>
  <c r="M492" i="2"/>
  <c r="L492" i="2"/>
  <c r="K492" i="2"/>
  <c r="A492" i="2"/>
  <c r="H492" i="2"/>
  <c r="J492" i="2"/>
  <c r="F492" i="2"/>
  <c r="I492" i="2"/>
  <c r="G492" i="2"/>
  <c r="E492" i="2"/>
  <c r="D492" i="2"/>
  <c r="M408" i="2"/>
  <c r="K408" i="2"/>
  <c r="J408" i="2"/>
  <c r="I408" i="2"/>
  <c r="L408" i="2"/>
  <c r="F408" i="2"/>
  <c r="A408" i="2"/>
  <c r="K320" i="2"/>
  <c r="I320" i="2"/>
  <c r="L320" i="2"/>
  <c r="M320" i="2"/>
  <c r="J320" i="2"/>
  <c r="H320" i="2"/>
  <c r="G320" i="2"/>
  <c r="F320" i="2"/>
  <c r="E320" i="2"/>
  <c r="A320" i="2"/>
  <c r="D320" i="2"/>
  <c r="L351" i="2"/>
  <c r="M351" i="2"/>
  <c r="I351" i="2"/>
  <c r="J351" i="2"/>
  <c r="K351" i="2"/>
  <c r="H351" i="2"/>
  <c r="F351" i="2"/>
  <c r="A351" i="2"/>
  <c r="D351" i="2"/>
  <c r="G351" i="2"/>
  <c r="E351" i="2"/>
  <c r="A200" i="2"/>
  <c r="H200" i="2"/>
  <c r="D200" i="2"/>
  <c r="E200" i="2"/>
  <c r="F200" i="2"/>
  <c r="G200" i="2"/>
  <c r="D431" i="2"/>
  <c r="L431" i="2"/>
  <c r="M431" i="2"/>
  <c r="K431" i="2"/>
  <c r="J431" i="2"/>
  <c r="I431" i="2"/>
  <c r="A431" i="2"/>
  <c r="A197" i="2"/>
  <c r="F197" i="2"/>
  <c r="H197" i="2"/>
  <c r="E197" i="2"/>
  <c r="G197" i="2"/>
  <c r="D197" i="2"/>
  <c r="I424" i="2"/>
  <c r="L424" i="2"/>
  <c r="M424" i="2"/>
  <c r="K424" i="2"/>
  <c r="J424" i="2"/>
  <c r="G424" i="2"/>
  <c r="A424" i="2"/>
  <c r="H424" i="2"/>
  <c r="F424" i="2"/>
  <c r="D424" i="2"/>
  <c r="E424" i="2"/>
  <c r="D193" i="2"/>
  <c r="A193" i="2"/>
  <c r="L421" i="2"/>
  <c r="K421" i="2"/>
  <c r="J421" i="2"/>
  <c r="M421" i="2"/>
  <c r="I421" i="2"/>
  <c r="A421" i="2"/>
  <c r="E421" i="2"/>
  <c r="H421" i="2"/>
  <c r="G421" i="2"/>
  <c r="F421" i="2"/>
  <c r="D421" i="2"/>
  <c r="H190" i="2"/>
  <c r="G190" i="2"/>
  <c r="F190" i="2"/>
  <c r="D190" i="2"/>
  <c r="E190" i="2"/>
  <c r="A190" i="2"/>
  <c r="L418" i="2"/>
  <c r="K418" i="2"/>
  <c r="M418" i="2"/>
  <c r="J418" i="2"/>
  <c r="E418" i="2"/>
  <c r="I418" i="2"/>
  <c r="H418" i="2"/>
  <c r="G418" i="2"/>
  <c r="F418" i="2"/>
  <c r="D418" i="2"/>
  <c r="A418" i="2"/>
  <c r="H182" i="2"/>
  <c r="E182" i="2"/>
  <c r="A182" i="2"/>
  <c r="G182" i="2"/>
  <c r="D182" i="2"/>
  <c r="F182" i="2"/>
  <c r="M443" i="2"/>
  <c r="H443" i="2"/>
  <c r="K443" i="2"/>
  <c r="J443" i="2"/>
  <c r="L443" i="2"/>
  <c r="F443" i="2"/>
  <c r="I443" i="2"/>
  <c r="D443" i="2"/>
  <c r="E443" i="2"/>
  <c r="A443" i="2"/>
  <c r="G443" i="2"/>
  <c r="L242" i="2"/>
  <c r="K242" i="2"/>
  <c r="M242" i="2"/>
  <c r="D242" i="2"/>
  <c r="I242" i="2"/>
  <c r="J242" i="2"/>
  <c r="A242" i="2"/>
  <c r="K475" i="2"/>
  <c r="I475" i="2"/>
  <c r="M475" i="2"/>
  <c r="L475" i="2"/>
  <c r="J475" i="2"/>
  <c r="G475" i="2"/>
  <c r="E475" i="2"/>
  <c r="D475" i="2"/>
  <c r="F475" i="2"/>
  <c r="H475" i="2"/>
  <c r="A475" i="2"/>
  <c r="M426" i="2"/>
  <c r="I426" i="2"/>
  <c r="K426" i="2"/>
  <c r="J426" i="2"/>
  <c r="L426" i="2"/>
  <c r="A426" i="2"/>
  <c r="E426" i="2"/>
  <c r="G426" i="2"/>
  <c r="H426" i="2"/>
  <c r="F426" i="2"/>
  <c r="D426" i="2"/>
  <c r="A145" i="2"/>
  <c r="D145" i="2"/>
  <c r="G145" i="2"/>
  <c r="H145" i="2"/>
  <c r="L495" i="2"/>
  <c r="I495" i="2"/>
  <c r="M495" i="2"/>
  <c r="K495" i="2"/>
  <c r="D495" i="2"/>
  <c r="H495" i="2"/>
  <c r="G495" i="2"/>
  <c r="J495" i="2"/>
  <c r="F495" i="2"/>
  <c r="E495" i="2"/>
  <c r="A495" i="2"/>
  <c r="J411" i="2"/>
  <c r="M411" i="2"/>
  <c r="K411" i="2"/>
  <c r="I411" i="2"/>
  <c r="L411" i="2"/>
  <c r="A411" i="2"/>
  <c r="D411" i="2"/>
  <c r="E411" i="2"/>
  <c r="J463" i="2"/>
  <c r="L463" i="2"/>
  <c r="K463" i="2"/>
  <c r="I463" i="2"/>
  <c r="G463" i="2"/>
  <c r="H463" i="2"/>
  <c r="M463" i="2"/>
  <c r="F463" i="2"/>
  <c r="A463" i="2"/>
  <c r="E463" i="2"/>
  <c r="D463" i="2"/>
  <c r="G104" i="2"/>
  <c r="F104" i="2"/>
  <c r="D104" i="2"/>
  <c r="H104" i="2"/>
  <c r="A104" i="2"/>
  <c r="E104" i="2"/>
  <c r="A169" i="2"/>
  <c r="D169" i="2"/>
  <c r="L399" i="2"/>
  <c r="I399" i="2"/>
  <c r="G399" i="2"/>
  <c r="K399" i="2"/>
  <c r="H399" i="2"/>
  <c r="M399" i="2"/>
  <c r="F399" i="2"/>
  <c r="A399" i="2"/>
  <c r="E399" i="2"/>
  <c r="J399" i="2"/>
  <c r="D399" i="2"/>
  <c r="F166" i="2"/>
  <c r="H166" i="2"/>
  <c r="D166" i="2"/>
  <c r="A166" i="2"/>
  <c r="E166" i="2"/>
  <c r="G166" i="2"/>
  <c r="K396" i="2"/>
  <c r="L396" i="2"/>
  <c r="J396" i="2"/>
  <c r="M396" i="2"/>
  <c r="H396" i="2"/>
  <c r="I396" i="2"/>
  <c r="E396" i="2"/>
  <c r="A396" i="2"/>
  <c r="D396" i="2"/>
  <c r="G396" i="2"/>
  <c r="F396" i="2"/>
  <c r="H158" i="2"/>
  <c r="G158" i="2"/>
  <c r="D158" i="2"/>
  <c r="E158" i="2"/>
  <c r="A158" i="2"/>
  <c r="F158" i="2"/>
  <c r="L393" i="2"/>
  <c r="K393" i="2"/>
  <c r="J393" i="2"/>
  <c r="M393" i="2"/>
  <c r="H393" i="2"/>
  <c r="E393" i="2"/>
  <c r="I393" i="2"/>
  <c r="A393" i="2"/>
  <c r="D393" i="2"/>
  <c r="G393" i="2"/>
  <c r="F393" i="2"/>
  <c r="H155" i="2"/>
  <c r="E155" i="2"/>
  <c r="G155" i="2"/>
  <c r="F155" i="2"/>
  <c r="D155" i="2"/>
  <c r="A155" i="2"/>
  <c r="K390" i="2"/>
  <c r="L390" i="2"/>
  <c r="J390" i="2"/>
  <c r="M390" i="2"/>
  <c r="I390" i="2"/>
  <c r="E390" i="2"/>
  <c r="A390" i="2"/>
  <c r="G390" i="2"/>
  <c r="H390" i="2"/>
  <c r="D390" i="2"/>
  <c r="F390" i="2"/>
  <c r="E152" i="2"/>
  <c r="G152" i="2"/>
  <c r="F152" i="2"/>
  <c r="H152" i="2"/>
  <c r="A152" i="2"/>
  <c r="D152" i="2"/>
  <c r="K415" i="2"/>
  <c r="M415" i="2"/>
  <c r="J415" i="2"/>
  <c r="I415" i="2"/>
  <c r="G415" i="2"/>
  <c r="F415" i="2"/>
  <c r="D415" i="2"/>
  <c r="H415" i="2"/>
  <c r="L415" i="2"/>
  <c r="E415" i="2"/>
  <c r="A415" i="2"/>
  <c r="E209" i="2"/>
  <c r="G209" i="2"/>
  <c r="H209" i="2"/>
  <c r="A209" i="2"/>
  <c r="F209" i="2"/>
  <c r="D209" i="2"/>
  <c r="A8" i="2"/>
  <c r="H8" i="2"/>
  <c r="M500" i="2"/>
  <c r="I500" i="2"/>
  <c r="F500" i="2"/>
  <c r="K500" i="2"/>
  <c r="L500" i="2"/>
  <c r="H500" i="2"/>
  <c r="J500" i="2"/>
  <c r="D500" i="2"/>
  <c r="A500" i="2"/>
  <c r="G500" i="2"/>
  <c r="E500" i="2"/>
  <c r="L451" i="2"/>
  <c r="I451" i="2"/>
  <c r="K451" i="2"/>
  <c r="M451" i="2"/>
  <c r="G451" i="2"/>
  <c r="H451" i="2"/>
  <c r="J451" i="2"/>
  <c r="F451" i="2"/>
  <c r="D451" i="2"/>
  <c r="E451" i="2"/>
  <c r="A451" i="2"/>
  <c r="M402" i="2"/>
  <c r="H402" i="2"/>
  <c r="L402" i="2"/>
  <c r="J402" i="2"/>
  <c r="K402" i="2"/>
  <c r="I402" i="2"/>
  <c r="G402" i="2"/>
  <c r="D402" i="2"/>
  <c r="F402" i="2"/>
  <c r="E402" i="2"/>
  <c r="A402" i="2"/>
  <c r="K267" i="2"/>
  <c r="L267" i="2"/>
  <c r="J267" i="2"/>
  <c r="M267" i="2"/>
  <c r="I267" i="2"/>
  <c r="A267" i="2"/>
  <c r="D267" i="2"/>
  <c r="E267" i="2"/>
  <c r="K371" i="2"/>
  <c r="M371" i="2"/>
  <c r="G371" i="2"/>
  <c r="I371" i="2"/>
  <c r="L371" i="2"/>
  <c r="H371" i="2"/>
  <c r="J371" i="2"/>
  <c r="D371" i="2"/>
  <c r="F371" i="2"/>
  <c r="A371" i="2"/>
  <c r="E371" i="2"/>
  <c r="G131" i="2"/>
  <c r="D131" i="2"/>
  <c r="H131" i="2"/>
  <c r="E131" i="2"/>
  <c r="F131" i="2"/>
  <c r="A131" i="2"/>
  <c r="K368" i="2"/>
  <c r="I368" i="2"/>
  <c r="H368" i="2"/>
  <c r="M368" i="2"/>
  <c r="L368" i="2"/>
  <c r="J368" i="2"/>
  <c r="D368" i="2"/>
  <c r="F368" i="2"/>
  <c r="A368" i="2"/>
  <c r="G368" i="2"/>
  <c r="E368" i="2"/>
  <c r="H128" i="2"/>
  <c r="A128" i="2"/>
  <c r="E128" i="2"/>
  <c r="G128" i="2"/>
  <c r="F128" i="2"/>
  <c r="D128" i="2"/>
  <c r="M365" i="2"/>
  <c r="J365" i="2"/>
  <c r="L365" i="2"/>
  <c r="E365" i="2"/>
  <c r="A365" i="2"/>
  <c r="H365" i="2"/>
  <c r="F365" i="2"/>
  <c r="G365" i="2"/>
  <c r="K365" i="2"/>
  <c r="I365" i="2"/>
  <c r="D365" i="2"/>
  <c r="H125" i="2"/>
  <c r="E125" i="2"/>
  <c r="G125" i="2"/>
  <c r="F125" i="2"/>
  <c r="A125" i="2"/>
  <c r="D125" i="2"/>
  <c r="K362" i="2"/>
  <c r="L362" i="2"/>
  <c r="M362" i="2"/>
  <c r="J362" i="2"/>
  <c r="I362" i="2"/>
  <c r="A362" i="2"/>
  <c r="D119" i="2"/>
  <c r="E119" i="2"/>
  <c r="A119" i="2"/>
  <c r="F119" i="2"/>
  <c r="G119" i="2"/>
  <c r="H119" i="2"/>
  <c r="K387" i="2"/>
  <c r="L387" i="2"/>
  <c r="J387" i="2"/>
  <c r="M387" i="2"/>
  <c r="A387" i="2"/>
  <c r="I387" i="2"/>
  <c r="E387" i="2"/>
  <c r="G179" i="2"/>
  <c r="F179" i="2"/>
  <c r="H179" i="2"/>
  <c r="A179" i="2"/>
  <c r="D179" i="2"/>
  <c r="E179" i="2"/>
  <c r="H4" i="2"/>
  <c r="A4" i="2"/>
  <c r="M476" i="2"/>
  <c r="K476" i="2"/>
  <c r="I476" i="2"/>
  <c r="L476" i="2"/>
  <c r="J476" i="2"/>
  <c r="G476" i="2"/>
  <c r="E476" i="2"/>
  <c r="D476" i="2"/>
  <c r="F476" i="2"/>
  <c r="H476" i="2"/>
  <c r="A476" i="2"/>
  <c r="H427" i="2"/>
  <c r="M427" i="2"/>
  <c r="K427" i="2"/>
  <c r="J427" i="2"/>
  <c r="I427" i="2"/>
  <c r="L427" i="2"/>
  <c r="E427" i="2"/>
  <c r="G427" i="2"/>
  <c r="F427" i="2"/>
  <c r="A427" i="2"/>
  <c r="D427" i="2"/>
  <c r="M378" i="2"/>
  <c r="L378" i="2"/>
  <c r="I378" i="2"/>
  <c r="J378" i="2"/>
  <c r="K378" i="2"/>
  <c r="F378" i="2"/>
  <c r="G378" i="2"/>
  <c r="D378" i="2"/>
  <c r="A378" i="2"/>
  <c r="E378" i="2"/>
  <c r="H378" i="2"/>
  <c r="L377" i="2"/>
  <c r="M377" i="2"/>
  <c r="J377" i="2"/>
  <c r="K377" i="2"/>
  <c r="F377" i="2"/>
  <c r="I377" i="2"/>
  <c r="G377" i="2"/>
  <c r="D377" i="2"/>
  <c r="A377" i="2"/>
  <c r="E377" i="2"/>
  <c r="H377" i="2"/>
  <c r="H456" i="2"/>
  <c r="E264" i="2"/>
  <c r="F458" i="2"/>
  <c r="H141" i="2"/>
  <c r="G141" i="2"/>
  <c r="A141" i="2"/>
  <c r="D141" i="2"/>
  <c r="E141" i="2"/>
  <c r="F141" i="2"/>
  <c r="H102" i="2"/>
  <c r="F102" i="2"/>
  <c r="D102" i="2"/>
  <c r="G102" i="2"/>
  <c r="E102" i="2"/>
  <c r="A102" i="2"/>
  <c r="M343" i="2"/>
  <c r="K343" i="2"/>
  <c r="L343" i="2"/>
  <c r="H343" i="2"/>
  <c r="J343" i="2"/>
  <c r="I343" i="2"/>
  <c r="D343" i="2"/>
  <c r="A343" i="2"/>
  <c r="F343" i="2"/>
  <c r="E343" i="2"/>
  <c r="G343" i="2"/>
  <c r="F97" i="2"/>
  <c r="H97" i="2"/>
  <c r="G97" i="2"/>
  <c r="D97" i="2"/>
  <c r="A97" i="2"/>
  <c r="K340" i="2"/>
  <c r="L340" i="2"/>
  <c r="J340" i="2"/>
  <c r="I340" i="2"/>
  <c r="M340" i="2"/>
  <c r="A93" i="2"/>
  <c r="H93" i="2"/>
  <c r="E93" i="2"/>
  <c r="G93" i="2"/>
  <c r="D93" i="2"/>
  <c r="F93" i="2"/>
  <c r="L337" i="2"/>
  <c r="G337" i="2"/>
  <c r="J337" i="2"/>
  <c r="I337" i="2"/>
  <c r="M337" i="2"/>
  <c r="A337" i="2"/>
  <c r="K337" i="2"/>
  <c r="H337" i="2"/>
  <c r="A90" i="2"/>
  <c r="D90" i="2"/>
  <c r="J334" i="2"/>
  <c r="L334" i="2"/>
  <c r="M334" i="2"/>
  <c r="G334" i="2"/>
  <c r="I334" i="2"/>
  <c r="A334" i="2"/>
  <c r="K334" i="2"/>
  <c r="D334" i="2"/>
  <c r="F334" i="2"/>
  <c r="H334" i="2"/>
  <c r="E334" i="2"/>
  <c r="E82" i="2"/>
  <c r="A82" i="2"/>
  <c r="D359" i="2"/>
  <c r="K359" i="2"/>
  <c r="J359" i="2"/>
  <c r="L359" i="2"/>
  <c r="M359" i="2"/>
  <c r="E359" i="2"/>
  <c r="I359" i="2"/>
  <c r="F359" i="2"/>
  <c r="A359" i="2"/>
  <c r="F149" i="2"/>
  <c r="H149" i="2"/>
  <c r="A149" i="2"/>
  <c r="D149" i="2"/>
  <c r="E149" i="2"/>
  <c r="G149" i="2"/>
  <c r="K477" i="2"/>
  <c r="M477" i="2"/>
  <c r="L477" i="2"/>
  <c r="J477" i="2"/>
  <c r="I477" i="2"/>
  <c r="A477" i="2"/>
  <c r="G477" i="2"/>
  <c r="E477" i="2"/>
  <c r="D477" i="2"/>
  <c r="H477" i="2"/>
  <c r="F477" i="2"/>
  <c r="M452" i="2"/>
  <c r="K452" i="2"/>
  <c r="I452" i="2"/>
  <c r="L452" i="2"/>
  <c r="H452" i="2"/>
  <c r="J452" i="2"/>
  <c r="A452" i="2"/>
  <c r="F452" i="2"/>
  <c r="D452" i="2"/>
  <c r="E452" i="2"/>
  <c r="G452" i="2"/>
  <c r="G403" i="2"/>
  <c r="L403" i="2"/>
  <c r="M403" i="2"/>
  <c r="J403" i="2"/>
  <c r="K403" i="2"/>
  <c r="I403" i="2"/>
  <c r="D403" i="2"/>
  <c r="F403" i="2"/>
  <c r="E403" i="2"/>
  <c r="A403" i="2"/>
  <c r="M354" i="2"/>
  <c r="L354" i="2"/>
  <c r="J354" i="2"/>
  <c r="K354" i="2"/>
  <c r="D354" i="2"/>
  <c r="H354" i="2"/>
  <c r="I354" i="2"/>
  <c r="G354" i="2"/>
  <c r="E354" i="2"/>
  <c r="F354" i="2"/>
  <c r="A354" i="2"/>
  <c r="H468" i="2"/>
  <c r="M468" i="2"/>
  <c r="G468" i="2"/>
  <c r="I468" i="2"/>
  <c r="J468" i="2"/>
  <c r="D468" i="2"/>
  <c r="L468" i="2"/>
  <c r="E468" i="2"/>
  <c r="K468" i="2"/>
  <c r="F468" i="2"/>
  <c r="A468" i="2"/>
  <c r="F134" i="2"/>
  <c r="D134" i="2"/>
  <c r="H134" i="2"/>
  <c r="E134" i="2"/>
  <c r="A134" i="2"/>
  <c r="G134" i="2"/>
  <c r="G239" i="2"/>
  <c r="H148" i="2"/>
  <c r="D288" i="2"/>
  <c r="E169" i="2"/>
  <c r="G458" i="2"/>
  <c r="D263" i="2"/>
  <c r="L263" i="2"/>
  <c r="M263" i="2"/>
  <c r="K263" i="2"/>
  <c r="J263" i="2"/>
  <c r="I263" i="2"/>
  <c r="A263" i="2"/>
  <c r="G263" i="2"/>
  <c r="F263" i="2"/>
  <c r="E263" i="2"/>
  <c r="M318" i="2"/>
  <c r="I318" i="2"/>
  <c r="J318" i="2"/>
  <c r="K318" i="2"/>
  <c r="L318" i="2"/>
  <c r="H318" i="2"/>
  <c r="G318" i="2"/>
  <c r="F318" i="2"/>
  <c r="E318" i="2"/>
  <c r="D318" i="2"/>
  <c r="A318" i="2"/>
  <c r="A67" i="2"/>
  <c r="F67" i="2"/>
  <c r="M315" i="2"/>
  <c r="I315" i="2"/>
  <c r="J315" i="2"/>
  <c r="K315" i="2"/>
  <c r="L315" i="2"/>
  <c r="E315" i="2"/>
  <c r="D315" i="2"/>
  <c r="A64" i="2"/>
  <c r="D64" i="2"/>
  <c r="M312" i="2"/>
  <c r="K312" i="2"/>
  <c r="L312" i="2"/>
  <c r="J312" i="2"/>
  <c r="H312" i="2"/>
  <c r="F312" i="2"/>
  <c r="I312" i="2"/>
  <c r="G312" i="2"/>
  <c r="A312" i="2"/>
  <c r="A56" i="2"/>
  <c r="E56" i="2"/>
  <c r="J305" i="2"/>
  <c r="K305" i="2"/>
  <c r="G305" i="2"/>
  <c r="H305" i="2"/>
  <c r="M305" i="2"/>
  <c r="L305" i="2"/>
  <c r="A305" i="2"/>
  <c r="I305" i="2"/>
  <c r="D305" i="2"/>
  <c r="E305" i="2"/>
  <c r="F305" i="2"/>
  <c r="E53" i="2"/>
  <c r="A53" i="2"/>
  <c r="H302" i="2"/>
  <c r="J302" i="2"/>
  <c r="K302" i="2"/>
  <c r="L302" i="2"/>
  <c r="M302" i="2"/>
  <c r="I302" i="2"/>
  <c r="G302" i="2"/>
  <c r="A302" i="2"/>
  <c r="E302" i="2"/>
  <c r="F302" i="2"/>
  <c r="D302" i="2"/>
  <c r="D47" i="2"/>
  <c r="A47" i="2"/>
  <c r="L327" i="2"/>
  <c r="J327" i="2"/>
  <c r="M327" i="2"/>
  <c r="K327" i="2"/>
  <c r="E327" i="2"/>
  <c r="F327" i="2"/>
  <c r="H327" i="2"/>
  <c r="A327" i="2"/>
  <c r="G327" i="2"/>
  <c r="I327" i="2"/>
  <c r="D327" i="2"/>
  <c r="H116" i="2"/>
  <c r="F116" i="2"/>
  <c r="E116" i="2"/>
  <c r="G116" i="2"/>
  <c r="A116" i="2"/>
  <c r="D116" i="2"/>
  <c r="K453" i="2"/>
  <c r="I453" i="2"/>
  <c r="M453" i="2"/>
  <c r="L453" i="2"/>
  <c r="H453" i="2"/>
  <c r="J453" i="2"/>
  <c r="A453" i="2"/>
  <c r="F453" i="2"/>
  <c r="E453" i="2"/>
  <c r="D453" i="2"/>
  <c r="G453" i="2"/>
  <c r="H428" i="2"/>
  <c r="M428" i="2"/>
  <c r="K428" i="2"/>
  <c r="J428" i="2"/>
  <c r="I428" i="2"/>
  <c r="E428" i="2"/>
  <c r="L428" i="2"/>
  <c r="A428" i="2"/>
  <c r="G428" i="2"/>
  <c r="F428" i="2"/>
  <c r="D428" i="2"/>
  <c r="F379" i="2"/>
  <c r="L379" i="2"/>
  <c r="M379" i="2"/>
  <c r="I379" i="2"/>
  <c r="J379" i="2"/>
  <c r="K379" i="2"/>
  <c r="E379" i="2"/>
  <c r="G379" i="2"/>
  <c r="D379" i="2"/>
  <c r="A379" i="2"/>
  <c r="M330" i="2"/>
  <c r="K330" i="2"/>
  <c r="L330" i="2"/>
  <c r="H330" i="2"/>
  <c r="J330" i="2"/>
  <c r="I330" i="2"/>
  <c r="E330" i="2"/>
  <c r="D330" i="2"/>
  <c r="A330" i="2"/>
  <c r="F330" i="2"/>
  <c r="G330" i="2"/>
  <c r="G177" i="2"/>
  <c r="H177" i="2"/>
  <c r="A177" i="2"/>
  <c r="D177" i="2"/>
  <c r="E177" i="2"/>
  <c r="F177" i="2"/>
  <c r="E71" i="2"/>
  <c r="A71" i="2"/>
  <c r="A70" i="2"/>
  <c r="G70" i="2"/>
  <c r="G240" i="2"/>
  <c r="E288" i="2"/>
  <c r="F169" i="2"/>
  <c r="L352" i="2"/>
  <c r="M352" i="2"/>
  <c r="I352" i="2"/>
  <c r="J352" i="2"/>
  <c r="K352" i="2"/>
  <c r="D352" i="2"/>
  <c r="H352" i="2"/>
  <c r="G352" i="2"/>
  <c r="E352" i="2"/>
  <c r="A352" i="2"/>
  <c r="F352" i="2"/>
  <c r="L290" i="2"/>
  <c r="M290" i="2"/>
  <c r="I290" i="2"/>
  <c r="J290" i="2"/>
  <c r="K290" i="2"/>
  <c r="D290" i="2"/>
  <c r="D287" i="2"/>
  <c r="M287" i="2"/>
  <c r="I287" i="2"/>
  <c r="J287" i="2"/>
  <c r="L287" i="2"/>
  <c r="K287" i="2"/>
  <c r="H287" i="2"/>
  <c r="G287" i="2"/>
  <c r="F287" i="2"/>
  <c r="E287" i="2"/>
  <c r="A287" i="2"/>
  <c r="A23" i="2"/>
  <c r="H23" i="2"/>
  <c r="M280" i="2"/>
  <c r="J280" i="2"/>
  <c r="K280" i="2"/>
  <c r="L280" i="2"/>
  <c r="H280" i="2"/>
  <c r="E280" i="2"/>
  <c r="F280" i="2"/>
  <c r="G280" i="2"/>
  <c r="D280" i="2"/>
  <c r="I280" i="2"/>
  <c r="A280" i="2"/>
  <c r="L277" i="2"/>
  <c r="J277" i="2"/>
  <c r="G277" i="2"/>
  <c r="K277" i="2"/>
  <c r="H277" i="2"/>
  <c r="A277" i="2"/>
  <c r="M277" i="2"/>
  <c r="I277" i="2"/>
  <c r="E277" i="2"/>
  <c r="F277" i="2"/>
  <c r="D277" i="2"/>
  <c r="A17" i="2"/>
  <c r="F17" i="2"/>
  <c r="L274" i="2"/>
  <c r="K274" i="2"/>
  <c r="I274" i="2"/>
  <c r="H274" i="2"/>
  <c r="G274" i="2"/>
  <c r="E274" i="2"/>
  <c r="M274" i="2"/>
  <c r="J274" i="2"/>
  <c r="F274" i="2"/>
  <c r="D274" i="2"/>
  <c r="A274" i="2"/>
  <c r="L299" i="2"/>
  <c r="M299" i="2"/>
  <c r="K299" i="2"/>
  <c r="I299" i="2"/>
  <c r="E299" i="2"/>
  <c r="D299" i="2"/>
  <c r="J299" i="2"/>
  <c r="A299" i="2"/>
  <c r="H299" i="2"/>
  <c r="F299" i="2"/>
  <c r="G299" i="2"/>
  <c r="G79" i="2"/>
  <c r="E79" i="2"/>
  <c r="A79" i="2"/>
  <c r="G429" i="2"/>
  <c r="L429" i="2"/>
  <c r="M429" i="2"/>
  <c r="K429" i="2"/>
  <c r="J429" i="2"/>
  <c r="I429" i="2"/>
  <c r="A429" i="2"/>
  <c r="F429" i="2"/>
  <c r="D429" i="2"/>
  <c r="F404" i="2"/>
  <c r="M404" i="2"/>
  <c r="L404" i="2"/>
  <c r="H404" i="2"/>
  <c r="J404" i="2"/>
  <c r="K404" i="2"/>
  <c r="I404" i="2"/>
  <c r="D404" i="2"/>
  <c r="E404" i="2"/>
  <c r="A404" i="2"/>
  <c r="M355" i="2"/>
  <c r="J355" i="2"/>
  <c r="K355" i="2"/>
  <c r="L355" i="2"/>
  <c r="D355" i="2"/>
  <c r="H355" i="2"/>
  <c r="I355" i="2"/>
  <c r="G355" i="2"/>
  <c r="E355" i="2"/>
  <c r="A355" i="2"/>
  <c r="F355" i="2"/>
  <c r="M306" i="2"/>
  <c r="J306" i="2"/>
  <c r="K306" i="2"/>
  <c r="L306" i="2"/>
  <c r="G306" i="2"/>
  <c r="I306" i="2"/>
  <c r="H306" i="2"/>
  <c r="D306" i="2"/>
  <c r="A306" i="2"/>
  <c r="E306" i="2"/>
  <c r="F306" i="2"/>
  <c r="K296" i="2"/>
  <c r="M296" i="2"/>
  <c r="I296" i="2"/>
  <c r="L296" i="2"/>
  <c r="J296" i="2"/>
  <c r="D296" i="2"/>
  <c r="F296" i="2"/>
  <c r="A296" i="2"/>
  <c r="H296" i="2"/>
  <c r="E296" i="2"/>
  <c r="G296" i="2"/>
  <c r="H204" i="2"/>
  <c r="A204" i="2"/>
  <c r="G204" i="2"/>
  <c r="D204" i="2"/>
  <c r="E204" i="2"/>
  <c r="F204" i="2"/>
  <c r="D105" i="2"/>
  <c r="H65" i="2"/>
  <c r="G21" i="2"/>
  <c r="E481" i="2"/>
  <c r="E242" i="2"/>
  <c r="K464" i="2"/>
  <c r="I464" i="2"/>
  <c r="J464" i="2"/>
  <c r="M464" i="2"/>
  <c r="G464" i="2"/>
  <c r="H464" i="2"/>
  <c r="D464" i="2"/>
  <c r="L464" i="2"/>
  <c r="F464" i="2"/>
  <c r="A464" i="2"/>
  <c r="E464" i="2"/>
  <c r="H262" i="2"/>
  <c r="L262" i="2"/>
  <c r="M262" i="2"/>
  <c r="K262" i="2"/>
  <c r="J262" i="2"/>
  <c r="I262" i="2"/>
  <c r="D262" i="2"/>
  <c r="A262" i="2"/>
  <c r="G262" i="2"/>
  <c r="F262" i="2"/>
  <c r="E262" i="2"/>
  <c r="K488" i="2"/>
  <c r="I488" i="2"/>
  <c r="J488" i="2"/>
  <c r="M488" i="2"/>
  <c r="L488" i="2"/>
  <c r="H488" i="2"/>
  <c r="F488" i="2"/>
  <c r="D488" i="2"/>
  <c r="G488" i="2"/>
  <c r="A488" i="2"/>
  <c r="E488" i="2"/>
  <c r="L255" i="2"/>
  <c r="J255" i="2"/>
  <c r="M255" i="2"/>
  <c r="F255" i="2"/>
  <c r="K255" i="2"/>
  <c r="I255" i="2"/>
  <c r="G255" i="2"/>
  <c r="H255" i="2"/>
  <c r="D255" i="2"/>
  <c r="E255" i="2"/>
  <c r="A255" i="2"/>
  <c r="L485" i="2"/>
  <c r="M485" i="2"/>
  <c r="H485" i="2"/>
  <c r="K485" i="2"/>
  <c r="J485" i="2"/>
  <c r="G485" i="2"/>
  <c r="E485" i="2"/>
  <c r="F485" i="2"/>
  <c r="I485" i="2"/>
  <c r="A485" i="2"/>
  <c r="D485" i="2"/>
  <c r="M252" i="2"/>
  <c r="J252" i="2"/>
  <c r="L252" i="2"/>
  <c r="K252" i="2"/>
  <c r="A252" i="2"/>
  <c r="I252" i="2"/>
  <c r="H252" i="2"/>
  <c r="E252" i="2"/>
  <c r="F252" i="2"/>
  <c r="D252" i="2"/>
  <c r="G252" i="2"/>
  <c r="L482" i="2"/>
  <c r="M482" i="2"/>
  <c r="K482" i="2"/>
  <c r="I482" i="2"/>
  <c r="J482" i="2"/>
  <c r="A482" i="2"/>
  <c r="D482" i="2"/>
  <c r="K249" i="2"/>
  <c r="M249" i="2"/>
  <c r="J249" i="2"/>
  <c r="I249" i="2"/>
  <c r="G249" i="2"/>
  <c r="L249" i="2"/>
  <c r="A249" i="2"/>
  <c r="H249" i="2"/>
  <c r="E249" i="2"/>
  <c r="F249" i="2"/>
  <c r="D249" i="2"/>
  <c r="D479" i="2"/>
  <c r="L479" i="2"/>
  <c r="M479" i="2"/>
  <c r="H479" i="2"/>
  <c r="E479" i="2"/>
  <c r="K479" i="2"/>
  <c r="J479" i="2"/>
  <c r="I479" i="2"/>
  <c r="A479" i="2"/>
  <c r="G479" i="2"/>
  <c r="F479" i="2"/>
  <c r="L246" i="2"/>
  <c r="K246" i="2"/>
  <c r="M246" i="2"/>
  <c r="J246" i="2"/>
  <c r="G246" i="2"/>
  <c r="E246" i="2"/>
  <c r="I246" i="2"/>
  <c r="H246" i="2"/>
  <c r="F246" i="2"/>
  <c r="D246" i="2"/>
  <c r="A246" i="2"/>
  <c r="K472" i="2"/>
  <c r="M472" i="2"/>
  <c r="L472" i="2"/>
  <c r="J472" i="2"/>
  <c r="F472" i="2"/>
  <c r="I472" i="2"/>
  <c r="G472" i="2"/>
  <c r="E472" i="2"/>
  <c r="D472" i="2"/>
  <c r="H472" i="2"/>
  <c r="A472" i="2"/>
  <c r="L271" i="2"/>
  <c r="M271" i="2"/>
  <c r="K271" i="2"/>
  <c r="H271" i="2"/>
  <c r="E271" i="2"/>
  <c r="D271" i="2"/>
  <c r="J271" i="2"/>
  <c r="I271" i="2"/>
  <c r="G271" i="2"/>
  <c r="A271" i="2"/>
  <c r="F271" i="2"/>
  <c r="F405" i="2"/>
  <c r="L405" i="2"/>
  <c r="M405" i="2"/>
  <c r="H405" i="2"/>
  <c r="J405" i="2"/>
  <c r="K405" i="2"/>
  <c r="I405" i="2"/>
  <c r="D405" i="2"/>
  <c r="E405" i="2"/>
  <c r="A405" i="2"/>
  <c r="M380" i="2"/>
  <c r="L380" i="2"/>
  <c r="I380" i="2"/>
  <c r="J380" i="2"/>
  <c r="K380" i="2"/>
  <c r="F380" i="2"/>
  <c r="G380" i="2"/>
  <c r="D380" i="2"/>
  <c r="A380" i="2"/>
  <c r="E380" i="2"/>
  <c r="H380" i="2"/>
  <c r="K331" i="2"/>
  <c r="L331" i="2"/>
  <c r="G331" i="2"/>
  <c r="H331" i="2"/>
  <c r="I331" i="2"/>
  <c r="M331" i="2"/>
  <c r="J331" i="2"/>
  <c r="D331" i="2"/>
  <c r="F331" i="2"/>
  <c r="A331" i="2"/>
  <c r="E331" i="2"/>
  <c r="M282" i="2"/>
  <c r="L282" i="2"/>
  <c r="K282" i="2"/>
  <c r="I282" i="2"/>
  <c r="F282" i="2"/>
  <c r="H282" i="2"/>
  <c r="J282" i="2"/>
  <c r="A282" i="2"/>
  <c r="E282" i="2"/>
  <c r="G282" i="2"/>
  <c r="D282" i="2"/>
  <c r="A147" i="2"/>
  <c r="D147" i="2"/>
  <c r="H174" i="2"/>
  <c r="A174" i="2"/>
  <c r="D174" i="2"/>
  <c r="G174" i="2"/>
  <c r="E174" i="2"/>
  <c r="F174" i="2"/>
  <c r="M409" i="2"/>
  <c r="K409" i="2"/>
  <c r="J409" i="2"/>
  <c r="I409" i="2"/>
  <c r="L409" i="2"/>
  <c r="G409" i="2"/>
  <c r="H409" i="2"/>
  <c r="D409" i="2"/>
  <c r="A409" i="2"/>
  <c r="K321" i="2"/>
  <c r="L321" i="2"/>
  <c r="J321" i="2"/>
  <c r="M321" i="2"/>
  <c r="H321" i="2"/>
  <c r="F321" i="2"/>
  <c r="E321" i="2"/>
  <c r="G321" i="2"/>
  <c r="I321" i="2"/>
  <c r="D321" i="2"/>
  <c r="A321" i="2"/>
  <c r="F105" i="2"/>
  <c r="H37" i="2"/>
  <c r="D68" i="2"/>
  <c r="F37" i="2"/>
  <c r="F80" i="2"/>
  <c r="H335" i="2"/>
  <c r="E193" i="2"/>
  <c r="G45" i="2"/>
  <c r="H15" i="2"/>
  <c r="E18" i="2"/>
  <c r="H68" i="2"/>
  <c r="D82" i="2"/>
  <c r="E74" i="2"/>
  <c r="E24" i="2"/>
  <c r="H74" i="2"/>
  <c r="F70" i="2"/>
  <c r="H455" i="2"/>
  <c r="G431" i="2"/>
  <c r="G432" i="2"/>
  <c r="H240" i="2"/>
  <c r="F196" i="2"/>
  <c r="G359" i="2"/>
  <c r="H469" i="2"/>
  <c r="H362" i="2"/>
  <c r="E312" i="2"/>
  <c r="F193" i="2"/>
  <c r="F481" i="2"/>
  <c r="F242" i="2"/>
  <c r="D148" i="2"/>
  <c r="F459" i="2"/>
  <c r="H230" i="2"/>
  <c r="J230" i="2"/>
  <c r="L230" i="2"/>
  <c r="M230" i="2"/>
  <c r="K230" i="2"/>
  <c r="I230" i="2"/>
  <c r="D230" i="2"/>
  <c r="A230" i="2"/>
  <c r="G230" i="2"/>
  <c r="E230" i="2"/>
  <c r="F230" i="2"/>
  <c r="D460" i="2"/>
  <c r="K460" i="2"/>
  <c r="L460" i="2"/>
  <c r="M460" i="2"/>
  <c r="I460" i="2"/>
  <c r="J460" i="2"/>
  <c r="F460" i="2"/>
  <c r="M227" i="2"/>
  <c r="L227" i="2"/>
  <c r="J227" i="2"/>
  <c r="K227" i="2"/>
  <c r="F227" i="2"/>
  <c r="I227" i="2"/>
  <c r="E227" i="2"/>
  <c r="G227" i="2"/>
  <c r="H227" i="2"/>
  <c r="D227" i="2"/>
  <c r="A227" i="2"/>
  <c r="L457" i="2"/>
  <c r="M457" i="2"/>
  <c r="K457" i="2"/>
  <c r="J457" i="2"/>
  <c r="A457" i="2"/>
  <c r="D457" i="2"/>
  <c r="I457" i="2"/>
  <c r="K224" i="2"/>
  <c r="I224" i="2"/>
  <c r="J224" i="2"/>
  <c r="M224" i="2"/>
  <c r="L224" i="2"/>
  <c r="F224" i="2"/>
  <c r="A224" i="2"/>
  <c r="G224" i="2"/>
  <c r="D224" i="2"/>
  <c r="H224" i="2"/>
  <c r="E224" i="2"/>
  <c r="H454" i="2"/>
  <c r="M454" i="2"/>
  <c r="K454" i="2"/>
  <c r="J454" i="2"/>
  <c r="L454" i="2"/>
  <c r="F454" i="2"/>
  <c r="I454" i="2"/>
  <c r="A454" i="2"/>
  <c r="D454" i="2"/>
  <c r="G454" i="2"/>
  <c r="G221" i="2"/>
  <c r="H221" i="2"/>
  <c r="E221" i="2"/>
  <c r="D221" i="2"/>
  <c r="F221" i="2"/>
  <c r="A221" i="2"/>
  <c r="L447" i="2"/>
  <c r="K447" i="2"/>
  <c r="H447" i="2"/>
  <c r="J447" i="2"/>
  <c r="M447" i="2"/>
  <c r="G447" i="2"/>
  <c r="E447" i="2"/>
  <c r="F447" i="2"/>
  <c r="I447" i="2"/>
  <c r="D447" i="2"/>
  <c r="A447" i="2"/>
  <c r="D218" i="2"/>
  <c r="A218" i="2"/>
  <c r="K444" i="2"/>
  <c r="M444" i="2"/>
  <c r="H444" i="2"/>
  <c r="J444" i="2"/>
  <c r="L444" i="2"/>
  <c r="F444" i="2"/>
  <c r="I444" i="2"/>
  <c r="D444" i="2"/>
  <c r="E444" i="2"/>
  <c r="G444" i="2"/>
  <c r="A444" i="2"/>
  <c r="L243" i="2"/>
  <c r="K243" i="2"/>
  <c r="M243" i="2"/>
  <c r="E243" i="2"/>
  <c r="D243" i="2"/>
  <c r="I243" i="2"/>
  <c r="J243" i="2"/>
  <c r="A243" i="2"/>
  <c r="A9" i="2"/>
  <c r="H9" i="2"/>
  <c r="M381" i="2"/>
  <c r="L381" i="2"/>
  <c r="I381" i="2"/>
  <c r="J381" i="2"/>
  <c r="K381" i="2"/>
  <c r="F381" i="2"/>
  <c r="E381" i="2"/>
  <c r="G381" i="2"/>
  <c r="A381" i="2"/>
  <c r="D381" i="2"/>
  <c r="H381" i="2"/>
  <c r="M356" i="2"/>
  <c r="L356" i="2"/>
  <c r="J356" i="2"/>
  <c r="K356" i="2"/>
  <c r="H356" i="2"/>
  <c r="I356" i="2"/>
  <c r="G356" i="2"/>
  <c r="E356" i="2"/>
  <c r="D356" i="2"/>
  <c r="F356" i="2"/>
  <c r="A356" i="2"/>
  <c r="J307" i="2"/>
  <c r="L307" i="2"/>
  <c r="K307" i="2"/>
  <c r="M307" i="2"/>
  <c r="G307" i="2"/>
  <c r="I307" i="2"/>
  <c r="H307" i="2"/>
  <c r="D307" i="2"/>
  <c r="A307" i="2"/>
  <c r="E307" i="2"/>
  <c r="F307" i="2"/>
  <c r="M258" i="2"/>
  <c r="I258" i="2"/>
  <c r="J258" i="2"/>
  <c r="L258" i="2"/>
  <c r="F258" i="2"/>
  <c r="K258" i="2"/>
  <c r="G258" i="2"/>
  <c r="E258" i="2"/>
  <c r="H258" i="2"/>
  <c r="A258" i="2"/>
  <c r="D258" i="2"/>
  <c r="H51" i="2"/>
  <c r="A51" i="2"/>
  <c r="E268" i="2"/>
  <c r="K268" i="2"/>
  <c r="I268" i="2"/>
  <c r="M268" i="2"/>
  <c r="J268" i="2"/>
  <c r="F268" i="2"/>
  <c r="L268" i="2"/>
  <c r="L293" i="2"/>
  <c r="M293" i="2"/>
  <c r="J293" i="2"/>
  <c r="I293" i="2"/>
  <c r="K293" i="2"/>
  <c r="H293" i="2"/>
  <c r="A293" i="2"/>
  <c r="F293" i="2"/>
  <c r="E293" i="2"/>
  <c r="G293" i="2"/>
  <c r="D293" i="2"/>
  <c r="K496" i="2"/>
  <c r="I496" i="2"/>
  <c r="M496" i="2"/>
  <c r="L496" i="2"/>
  <c r="D496" i="2"/>
  <c r="H496" i="2"/>
  <c r="G496" i="2"/>
  <c r="J496" i="2"/>
  <c r="E496" i="2"/>
  <c r="F496" i="2"/>
  <c r="A496" i="2"/>
  <c r="J412" i="2"/>
  <c r="M412" i="2"/>
  <c r="K412" i="2"/>
  <c r="D412" i="2"/>
  <c r="L412" i="2"/>
  <c r="I412" i="2"/>
  <c r="A412" i="2"/>
  <c r="K3" i="2"/>
  <c r="I3" i="2"/>
  <c r="J3" i="2"/>
  <c r="L3" i="2" l="1"/>
  <c r="M3" i="2" s="1"/>
  <c r="N3" i="2" s="1"/>
  <c r="J4" i="2"/>
  <c r="K4" i="2"/>
  <c r="I4" i="2"/>
  <c r="L4" i="2" l="1"/>
  <c r="M4" i="2" s="1"/>
  <c r="N4" i="2" s="1"/>
  <c r="K5" i="2" s="1"/>
  <c r="J5" i="2" l="1"/>
  <c r="I5" i="2"/>
  <c r="L5" i="2"/>
  <c r="M5" i="2" s="1"/>
  <c r="N5" i="2" s="1"/>
  <c r="J6" i="2" l="1"/>
  <c r="K6" i="2"/>
  <c r="I6" i="2"/>
  <c r="L6" i="2" l="1"/>
  <c r="M6" i="2" s="1"/>
  <c r="N6" i="2" s="1"/>
  <c r="J7" i="2" l="1"/>
  <c r="I7" i="2"/>
  <c r="K7" i="2"/>
  <c r="L7" i="2" l="1"/>
  <c r="M7" i="2" s="1"/>
  <c r="N7" i="2" s="1"/>
  <c r="J8" i="2" s="1"/>
  <c r="K8" i="2"/>
  <c r="I8" i="2"/>
  <c r="L8" i="2" l="1"/>
  <c r="M8" i="2" s="1"/>
  <c r="N8" i="2" s="1"/>
  <c r="I9" i="2" s="1"/>
  <c r="J9" i="2" l="1"/>
  <c r="K9" i="2"/>
  <c r="L9" i="2" s="1"/>
  <c r="M9" i="2" s="1"/>
  <c r="N9" i="2" s="1"/>
  <c r="J10" i="2" l="1"/>
  <c r="K10" i="2"/>
  <c r="I10" i="2"/>
  <c r="L10" i="2" l="1"/>
  <c r="M10" i="2" s="1"/>
  <c r="N10" i="2" s="1"/>
  <c r="J11" i="2" s="1"/>
  <c r="K11" i="2" l="1"/>
  <c r="I11" i="2"/>
  <c r="L11" i="2" l="1"/>
  <c r="M11" i="2" s="1"/>
  <c r="N11" i="2" s="1"/>
  <c r="K12" i="2" s="1"/>
  <c r="I12" i="2" l="1"/>
  <c r="J12" i="2"/>
  <c r="L12" i="2" l="1"/>
  <c r="M12" i="2" l="1"/>
  <c r="N12" i="2" s="1"/>
  <c r="I13" i="2" l="1"/>
  <c r="J13" i="2"/>
  <c r="K13" i="2"/>
  <c r="L13" i="2" l="1"/>
  <c r="M13" i="2"/>
  <c r="N13" i="2" s="1"/>
  <c r="I14" i="2" l="1"/>
  <c r="K14" i="2"/>
  <c r="J14" i="2"/>
  <c r="L14" i="2" l="1"/>
  <c r="M14" i="2" s="1"/>
  <c r="N14" i="2" s="1"/>
  <c r="J15" i="2" l="1"/>
  <c r="I15" i="2"/>
  <c r="K15" i="2"/>
  <c r="L15" i="2" l="1"/>
  <c r="M15" i="2" s="1"/>
  <c r="N15" i="2" s="1"/>
  <c r="K16" i="2" l="1"/>
  <c r="J16" i="2"/>
  <c r="I16" i="2"/>
  <c r="L16" i="2" s="1"/>
  <c r="M16" i="2" l="1"/>
  <c r="N16" i="2" s="1"/>
  <c r="J17" i="2" l="1"/>
  <c r="K17" i="2"/>
  <c r="I17" i="2"/>
  <c r="L17" i="2" l="1"/>
  <c r="M17" i="2" s="1"/>
  <c r="N17" i="2" s="1"/>
  <c r="K18" i="2" l="1"/>
  <c r="I18" i="2" l="1"/>
  <c r="J18" i="2"/>
  <c r="L18" i="2" s="1"/>
  <c r="M18" i="2" s="1"/>
  <c r="N18" i="2" s="1"/>
  <c r="J19" i="2" l="1"/>
  <c r="K19" i="2"/>
  <c r="I19" i="2"/>
  <c r="L19" i="2" l="1"/>
  <c r="M19" i="2" s="1"/>
  <c r="N19" i="2" s="1"/>
  <c r="I20" i="2" l="1"/>
  <c r="K20" i="2"/>
  <c r="J20" i="2"/>
  <c r="L20" i="2" l="1"/>
  <c r="M20" i="2" s="1"/>
  <c r="N20" i="2" s="1"/>
  <c r="J21" i="2" s="1"/>
  <c r="I21" i="2" l="1"/>
  <c r="K21" i="2"/>
  <c r="L21" i="2"/>
  <c r="M21" i="2" s="1"/>
  <c r="N21" i="2" s="1"/>
  <c r="I22" i="2" l="1"/>
  <c r="K22" i="2" l="1"/>
  <c r="J22" i="2"/>
  <c r="L22" i="2" l="1"/>
  <c r="M22" i="2" s="1"/>
  <c r="N22" i="2" s="1"/>
  <c r="I23" i="2" l="1"/>
  <c r="K23" i="2"/>
  <c r="J23" i="2"/>
  <c r="L23" i="2" l="1"/>
  <c r="M23" i="2" s="1"/>
  <c r="N23" i="2" s="1"/>
  <c r="I24" i="2" l="1"/>
  <c r="K24" i="2"/>
  <c r="J24" i="2"/>
  <c r="L24" i="2" l="1"/>
  <c r="M24" i="2" s="1"/>
  <c r="N24" i="2" s="1"/>
  <c r="K25" i="2" s="1"/>
  <c r="I25" i="2"/>
  <c r="J25" i="2"/>
  <c r="L25" i="2" l="1"/>
  <c r="M25" i="2" s="1"/>
  <c r="N25" i="2" s="1"/>
  <c r="J26" i="2" l="1"/>
  <c r="K26" i="2"/>
  <c r="I26" i="2"/>
  <c r="L26" i="2" l="1"/>
  <c r="M26" i="2" s="1"/>
  <c r="N26" i="2" s="1"/>
  <c r="I27" i="2" s="1"/>
  <c r="J27" i="2" l="1"/>
  <c r="K27" i="2"/>
  <c r="L27" i="2" s="1"/>
  <c r="M27" i="2" s="1"/>
  <c r="N27" i="2" s="1"/>
  <c r="I28" i="2" l="1"/>
  <c r="K28" i="2"/>
  <c r="J28" i="2"/>
  <c r="L28" i="2" l="1"/>
  <c r="M28" i="2" s="1"/>
  <c r="N28" i="2" s="1"/>
  <c r="I29" i="2" l="1"/>
  <c r="K29" i="2"/>
  <c r="J29" i="2"/>
  <c r="L29" i="2" l="1"/>
  <c r="M29" i="2" s="1"/>
  <c r="N29" i="2" s="1"/>
  <c r="K30" i="2" l="1"/>
  <c r="I30" i="2"/>
  <c r="J30" i="2"/>
  <c r="L30" i="2" l="1"/>
  <c r="M30" i="2" s="1"/>
  <c r="N30" i="2" s="1"/>
  <c r="J31" i="2" l="1"/>
  <c r="I31" i="2"/>
  <c r="K31" i="2"/>
  <c r="L31" i="2" l="1"/>
  <c r="M31" i="2" s="1"/>
  <c r="N31" i="2" s="1"/>
  <c r="K32" i="2" l="1"/>
  <c r="J32" i="2"/>
  <c r="I32" i="2"/>
  <c r="L32" i="2" l="1"/>
  <c r="M32" i="2" s="1"/>
  <c r="N32" i="2" s="1"/>
  <c r="K33" i="2" s="1"/>
  <c r="I33" i="2"/>
  <c r="J33" i="2" l="1"/>
  <c r="L33" i="2"/>
  <c r="M33" i="2" s="1"/>
  <c r="N33" i="2" s="1"/>
  <c r="K34" i="2" l="1"/>
  <c r="J34" i="2"/>
  <c r="I34" i="2"/>
  <c r="L34" i="2" l="1"/>
  <c r="M34" i="2" s="1"/>
  <c r="N34" i="2" s="1"/>
  <c r="K35" i="2" l="1"/>
  <c r="J35" i="2"/>
  <c r="I35" i="2"/>
  <c r="L35" i="2" l="1"/>
  <c r="M35" i="2" s="1"/>
  <c r="N35" i="2" s="1"/>
  <c r="K36" i="2" l="1"/>
  <c r="J36" i="2"/>
  <c r="I36" i="2"/>
  <c r="L36" i="2" l="1"/>
  <c r="M36" i="2" s="1"/>
  <c r="N36" i="2" s="1"/>
  <c r="J37" i="2" l="1"/>
  <c r="K37" i="2"/>
  <c r="I37" i="2"/>
  <c r="L37" i="2" l="1"/>
  <c r="M37" i="2" s="1"/>
  <c r="N37" i="2" s="1"/>
  <c r="K38" i="2" l="1"/>
  <c r="J38" i="2"/>
  <c r="I38" i="2"/>
  <c r="L38" i="2" l="1"/>
  <c r="M38" i="2" s="1"/>
  <c r="N38" i="2" s="1"/>
  <c r="K39" i="2" l="1"/>
  <c r="J39" i="2"/>
  <c r="I39" i="2"/>
  <c r="L39" i="2" l="1"/>
  <c r="M39" i="2" s="1"/>
  <c r="N39" i="2" s="1"/>
  <c r="J40" i="2" l="1"/>
  <c r="K40" i="2"/>
  <c r="I40" i="2"/>
  <c r="L40" i="2" l="1"/>
  <c r="M40" i="2" s="1"/>
  <c r="N40" i="2" s="1"/>
  <c r="K41" i="2" l="1"/>
  <c r="J41" i="2"/>
  <c r="I41" i="2"/>
  <c r="L41" i="2" l="1"/>
  <c r="M41" i="2" s="1"/>
  <c r="N41" i="2" s="1"/>
  <c r="K42" i="2" l="1"/>
  <c r="J42" i="2"/>
  <c r="I42" i="2"/>
  <c r="L42" i="2" l="1"/>
  <c r="M42" i="2" s="1"/>
  <c r="N42" i="2" s="1"/>
  <c r="I43" i="2" l="1"/>
  <c r="K43" i="2"/>
  <c r="J43" i="2"/>
  <c r="L43" i="2" l="1"/>
  <c r="M43" i="2" s="1"/>
  <c r="N43" i="2" s="1"/>
  <c r="J44" i="2" l="1"/>
  <c r="K44" i="2"/>
  <c r="I44" i="2"/>
  <c r="L44" i="2" s="1"/>
  <c r="M44" i="2" s="1"/>
  <c r="N44" i="2" s="1"/>
  <c r="K45" i="2" l="1"/>
  <c r="J45" i="2"/>
  <c r="I45" i="2"/>
  <c r="L45" i="2" s="1"/>
  <c r="M45" i="2" s="1"/>
  <c r="N45" i="2" l="1"/>
  <c r="K46" i="2" s="1"/>
  <c r="I46" i="2"/>
  <c r="J46" i="2" l="1"/>
  <c r="L46" i="2" s="1"/>
  <c r="M46" i="2" s="1"/>
  <c r="N46" i="2" s="1"/>
  <c r="J47" i="2" l="1"/>
  <c r="I47" i="2"/>
  <c r="K47" i="2"/>
  <c r="L47" i="2"/>
  <c r="M47" i="2" s="1"/>
  <c r="N47" i="2" s="1"/>
  <c r="K48" i="2" l="1"/>
  <c r="J48" i="2"/>
  <c r="I48" i="2"/>
  <c r="L48" i="2" l="1"/>
  <c r="M48" i="2" s="1"/>
  <c r="N48" i="2" s="1"/>
  <c r="I49" i="2" l="1"/>
  <c r="J49" i="2"/>
  <c r="K49" i="2" l="1"/>
  <c r="L49" i="2" s="1"/>
  <c r="M49" i="2" s="1"/>
  <c r="N49" i="2" s="1"/>
  <c r="I50" i="2" l="1"/>
  <c r="K50" i="2"/>
  <c r="J50" i="2"/>
  <c r="L50" i="2" l="1"/>
  <c r="M50" i="2" s="1"/>
  <c r="N50" i="2" s="1"/>
  <c r="K51" i="2" l="1"/>
  <c r="I51" i="2"/>
  <c r="J51" i="2"/>
  <c r="L51" i="2" l="1"/>
  <c r="M51" i="2" s="1"/>
  <c r="N51" i="2" l="1"/>
  <c r="I52" i="2" l="1"/>
  <c r="K52" i="2"/>
  <c r="J52" i="2"/>
  <c r="L52" i="2" l="1"/>
  <c r="M52" i="2" s="1"/>
  <c r="N52" i="2" s="1"/>
  <c r="K53" i="2" l="1"/>
  <c r="I53" i="2"/>
  <c r="J53" i="2"/>
  <c r="L53" i="2" l="1"/>
  <c r="M53" i="2" s="1"/>
  <c r="N53" i="2" s="1"/>
  <c r="K54" i="2" l="1"/>
  <c r="I54" i="2"/>
  <c r="J54" i="2"/>
  <c r="L54" i="2" l="1"/>
  <c r="M54" i="2" s="1"/>
  <c r="N54" i="2" s="1"/>
  <c r="J55" i="2" s="1"/>
  <c r="K55" i="2" l="1"/>
  <c r="I55" i="2"/>
  <c r="L55" i="2" l="1"/>
  <c r="M55" i="2" s="1"/>
  <c r="N55" i="2" s="1"/>
  <c r="J56" i="2" s="1"/>
  <c r="K56" i="2" l="1"/>
  <c r="I56" i="2"/>
  <c r="L56" i="2" l="1"/>
  <c r="M56" i="2" s="1"/>
  <c r="N56" i="2" s="1"/>
  <c r="I57" i="2" s="1"/>
  <c r="J57" i="2" l="1"/>
  <c r="K57" i="2"/>
  <c r="L57" i="2" l="1"/>
  <c r="M57" i="2" s="1"/>
  <c r="N57" i="2" s="1"/>
  <c r="I58" i="2" s="1"/>
  <c r="J58" i="2" l="1"/>
  <c r="K58" i="2"/>
  <c r="L58" i="2" l="1"/>
  <c r="M58" i="2" s="1"/>
  <c r="N58" i="2" s="1"/>
  <c r="I59" i="2" s="1"/>
  <c r="J59" i="2" l="1"/>
  <c r="K59" i="2"/>
  <c r="L59" i="2" l="1"/>
  <c r="M59" i="2" s="1"/>
  <c r="N59" i="2" s="1"/>
  <c r="I60" i="2" l="1"/>
  <c r="J60" i="2"/>
  <c r="K60" i="2"/>
  <c r="L60" i="2" l="1"/>
  <c r="M60" i="2" s="1"/>
  <c r="N60" i="2" s="1"/>
  <c r="K61" i="2" s="1"/>
  <c r="J61" i="2" l="1"/>
  <c r="I61" i="2"/>
  <c r="L61" i="2" l="1"/>
  <c r="M61" i="2" s="1"/>
  <c r="N61" i="2" s="1"/>
  <c r="K62" i="2" s="1"/>
  <c r="J62" i="2"/>
  <c r="I62" i="2" l="1"/>
  <c r="L62" i="2"/>
  <c r="M62" i="2" s="1"/>
  <c r="N62" i="2" s="1"/>
  <c r="J63" i="2" s="1"/>
  <c r="K63" i="2" l="1"/>
  <c r="I63" i="2"/>
  <c r="L63" i="2" s="1"/>
  <c r="M63" i="2" s="1"/>
  <c r="N63" i="2" l="1"/>
  <c r="K64" i="2" l="1"/>
  <c r="J64" i="2"/>
  <c r="I64" i="2"/>
  <c r="L64" i="2" s="1"/>
  <c r="M64" i="2" s="1"/>
  <c r="N64" i="2" l="1"/>
  <c r="J65" i="2" s="1"/>
  <c r="K65" i="2"/>
  <c r="I65" i="2" l="1"/>
  <c r="L65" i="2" l="1"/>
  <c r="M65" i="2" s="1"/>
  <c r="N65" i="2" s="1"/>
  <c r="I66" i="2"/>
  <c r="K66" i="2" l="1"/>
  <c r="J66" i="2"/>
  <c r="L66" i="2" l="1"/>
  <c r="M66" i="2" s="1"/>
  <c r="N66" i="2" s="1"/>
  <c r="I67" i="2" s="1"/>
  <c r="J67" i="2" l="1"/>
  <c r="K67" i="2"/>
  <c r="L67" i="2" l="1"/>
  <c r="M67" i="2" s="1"/>
  <c r="N67" i="2" s="1"/>
  <c r="I68" i="2" s="1"/>
  <c r="J68" i="2" l="1"/>
  <c r="K68" i="2"/>
  <c r="L68" i="2" l="1"/>
  <c r="M68" i="2" s="1"/>
  <c r="N68" i="2" s="1"/>
  <c r="I69" i="2" s="1"/>
  <c r="K69" i="2" l="1"/>
  <c r="J69" i="2"/>
  <c r="L69" i="2" l="1"/>
  <c r="M69" i="2" s="1"/>
  <c r="N69" i="2" l="1"/>
  <c r="I70" i="2" l="1"/>
  <c r="J70" i="2"/>
  <c r="K70" i="2"/>
  <c r="L70" i="2" l="1"/>
  <c r="M70" i="2" s="1"/>
  <c r="N70" i="2" s="1"/>
  <c r="I71" i="2"/>
  <c r="K71" i="2" l="1"/>
  <c r="J71" i="2"/>
  <c r="L71" i="2" l="1"/>
  <c r="M71" i="2" s="1"/>
  <c r="N71" i="2" s="1"/>
  <c r="K72" i="2" l="1"/>
  <c r="I72" i="2"/>
  <c r="J72" i="2"/>
  <c r="L72" i="2" l="1"/>
  <c r="M72" i="2" s="1"/>
  <c r="N72" i="2" l="1"/>
  <c r="I73" i="2" l="1"/>
  <c r="K73" i="2"/>
  <c r="J73" i="2"/>
  <c r="L73" i="2" l="1"/>
  <c r="M73" i="2" s="1"/>
  <c r="N73" i="2" l="1"/>
  <c r="K74" i="2" l="1"/>
  <c r="I74" i="2"/>
  <c r="J74" i="2"/>
  <c r="L74" i="2" l="1"/>
  <c r="M74" i="2" s="1"/>
  <c r="N74" i="2" s="1"/>
  <c r="J75" i="2" s="1"/>
  <c r="K75" i="2" l="1"/>
  <c r="I75" i="2"/>
  <c r="L75" i="2" l="1"/>
  <c r="M75" i="2" s="1"/>
  <c r="N75" i="2" s="1"/>
  <c r="J76" i="2" s="1"/>
  <c r="K76" i="2" l="1"/>
  <c r="I76" i="2"/>
  <c r="L76" i="2" l="1"/>
  <c r="M76" i="2" s="1"/>
  <c r="N76" i="2" l="1"/>
  <c r="K77" i="2" l="1"/>
  <c r="I77" i="2"/>
  <c r="J77" i="2"/>
  <c r="L77" i="2" l="1"/>
  <c r="M77" i="2" s="1"/>
  <c r="N77" i="2" s="1"/>
  <c r="J78" i="2" s="1"/>
  <c r="K78" i="2" l="1"/>
  <c r="I78" i="2"/>
  <c r="L78" i="2" l="1"/>
  <c r="M78" i="2" s="1"/>
  <c r="N78" i="2"/>
  <c r="J79" i="2" l="1"/>
  <c r="K79" i="2"/>
  <c r="I79" i="2"/>
  <c r="L79" i="2" s="1"/>
  <c r="M79" i="2" s="1"/>
  <c r="N79" i="2" l="1"/>
  <c r="I80" i="2" s="1"/>
  <c r="K80" i="2"/>
  <c r="J80" i="2"/>
  <c r="L80" i="2" l="1"/>
  <c r="M80" i="2" s="1"/>
  <c r="N80" i="2"/>
  <c r="I81" i="2" s="1"/>
  <c r="J81" i="2"/>
  <c r="K81" i="2"/>
  <c r="L81" i="2" l="1"/>
  <c r="M81" i="2" s="1"/>
  <c r="N81" i="2" s="1"/>
  <c r="I82" i="2" l="1"/>
  <c r="K82" i="2"/>
  <c r="J82" i="2"/>
  <c r="L82" i="2"/>
  <c r="M82" i="2" s="1"/>
  <c r="N82" i="2" s="1"/>
  <c r="I83" i="2" l="1"/>
  <c r="J83" i="2"/>
  <c r="K83" i="2"/>
  <c r="L83" i="2" l="1"/>
  <c r="M83" i="2" s="1"/>
  <c r="N83" i="2" s="1"/>
  <c r="I84" i="2" l="1"/>
  <c r="J84" i="2"/>
  <c r="K84" i="2"/>
  <c r="L84" i="2" l="1"/>
  <c r="M84" i="2" s="1"/>
  <c r="N84" i="2" s="1"/>
  <c r="I85" i="2" s="1"/>
  <c r="K85" i="2" l="1"/>
  <c r="J85" i="2"/>
  <c r="L85" i="2" l="1"/>
  <c r="M85" i="2" s="1"/>
  <c r="N85" i="2" s="1"/>
  <c r="I86" i="2" s="1"/>
  <c r="K86" i="2" l="1"/>
  <c r="J86" i="2"/>
  <c r="L86" i="2" l="1"/>
  <c r="M86" i="2" s="1"/>
  <c r="N86" i="2" s="1"/>
  <c r="I87" i="2" s="1"/>
  <c r="K87" i="2" l="1"/>
  <c r="J87" i="2"/>
  <c r="L87" i="2" s="1"/>
  <c r="M87" i="2" s="1"/>
  <c r="N87" i="2" s="1"/>
  <c r="I88" i="2" l="1"/>
  <c r="J88" i="2"/>
  <c r="K88" i="2"/>
  <c r="L88" i="2" s="1"/>
  <c r="M88" i="2" s="1"/>
  <c r="N88" i="2" s="1"/>
  <c r="J89" i="2" s="1"/>
  <c r="K89" i="2" l="1"/>
  <c r="I89" i="2"/>
  <c r="L89" i="2"/>
  <c r="M89" i="2" s="1"/>
  <c r="N89" i="2" l="1"/>
  <c r="J90" i="2" l="1"/>
  <c r="I90" i="2"/>
  <c r="K90" i="2"/>
  <c r="L90" i="2" l="1"/>
  <c r="M90" i="2" s="1"/>
  <c r="N90" i="2" l="1"/>
  <c r="K91" i="2" s="1"/>
  <c r="J91" i="2" l="1"/>
  <c r="I91" i="2"/>
  <c r="L91" i="2" l="1"/>
  <c r="M91" i="2" s="1"/>
  <c r="N91" i="2" s="1"/>
  <c r="K92" i="2" s="1"/>
  <c r="J92" i="2" l="1"/>
  <c r="I92" i="2"/>
  <c r="L92" i="2" l="1"/>
  <c r="M92" i="2" s="1"/>
  <c r="N92" i="2" l="1"/>
  <c r="J93" i="2" l="1"/>
  <c r="I93" i="2"/>
  <c r="K93" i="2"/>
  <c r="L93" i="2" l="1"/>
  <c r="M93" i="2" s="1"/>
  <c r="N93" i="2" l="1"/>
  <c r="I94" i="2" l="1"/>
  <c r="J94" i="2"/>
  <c r="K94" i="2"/>
  <c r="L94" i="2" l="1"/>
  <c r="M94" i="2" s="1"/>
  <c r="N94" i="2" s="1"/>
  <c r="K95" i="2" s="1"/>
  <c r="I95" i="2" l="1"/>
  <c r="J95" i="2"/>
  <c r="L95" i="2" l="1"/>
  <c r="M95" i="2" s="1"/>
  <c r="N95" i="2" l="1"/>
  <c r="K96" i="2" l="1"/>
  <c r="J96" i="2"/>
  <c r="I96" i="2"/>
  <c r="L96" i="2" l="1"/>
  <c r="M96" i="2" s="1"/>
  <c r="N96" i="2" s="1"/>
  <c r="I97" i="2" s="1"/>
  <c r="J97" i="2"/>
  <c r="K97" i="2"/>
  <c r="L97" i="2" l="1"/>
  <c r="M97" i="2" s="1"/>
  <c r="N97" i="2" s="1"/>
  <c r="I98" i="2" s="1"/>
  <c r="K98" i="2" l="1"/>
  <c r="J98" i="2"/>
  <c r="L98" i="2"/>
  <c r="M98" i="2" s="1"/>
  <c r="N98" i="2" s="1"/>
  <c r="J99" i="2" s="1"/>
  <c r="I99" i="2" l="1"/>
  <c r="K99" i="2"/>
  <c r="L99" i="2" l="1"/>
  <c r="M99" i="2" s="1"/>
  <c r="N99" i="2" s="1"/>
  <c r="J100" i="2" s="1"/>
  <c r="K100" i="2" l="1"/>
  <c r="I100" i="2"/>
  <c r="L100" i="2"/>
  <c r="M100" i="2" s="1"/>
  <c r="N100" i="2" s="1"/>
  <c r="K101" i="2" s="1"/>
  <c r="J101" i="2" l="1"/>
  <c r="I101" i="2"/>
  <c r="L101" i="2"/>
  <c r="M101" i="2" s="1"/>
  <c r="N101" i="2" s="1"/>
  <c r="K102" i="2" s="1"/>
  <c r="I102" i="2" l="1"/>
  <c r="J102" i="2"/>
  <c r="L102" i="2" l="1"/>
  <c r="M102" i="2" s="1"/>
  <c r="N102" i="2" s="1"/>
  <c r="K103" i="2" s="1"/>
  <c r="J103" i="2"/>
  <c r="I103" i="2" l="1"/>
  <c r="L103" i="2"/>
  <c r="M103" i="2" s="1"/>
  <c r="N103" i="2" l="1"/>
  <c r="I104" i="2" l="1"/>
  <c r="J104" i="2"/>
  <c r="K104" i="2"/>
  <c r="L104" i="2" l="1"/>
  <c r="M104" i="2" s="1"/>
  <c r="N104" i="2" s="1"/>
  <c r="K105" i="2" s="1"/>
  <c r="I105" i="2"/>
  <c r="J105" i="2" l="1"/>
  <c r="L105" i="2" s="1"/>
  <c r="M105" i="2" s="1"/>
  <c r="N105" i="2" s="1"/>
  <c r="K106" i="2" s="1"/>
  <c r="J106" i="2" l="1"/>
  <c r="I106" i="2"/>
  <c r="L106" i="2" s="1"/>
  <c r="M106" i="2" s="1"/>
  <c r="N106" i="2" l="1"/>
  <c r="K107" i="2" s="1"/>
  <c r="J107" i="2"/>
  <c r="I107" i="2" l="1"/>
  <c r="L107" i="2" l="1"/>
  <c r="M107" i="2" s="1"/>
  <c r="N107" i="2" s="1"/>
  <c r="J108" i="2" l="1"/>
  <c r="K108" i="2"/>
  <c r="I108" i="2"/>
  <c r="L108" i="2" l="1"/>
  <c r="M108" i="2" s="1"/>
  <c r="N108" i="2" l="1"/>
  <c r="I109" i="2" l="1"/>
  <c r="J109" i="2"/>
  <c r="K109" i="2"/>
  <c r="L109" i="2" l="1"/>
  <c r="M109" i="2" s="1"/>
  <c r="N109" i="2" s="1"/>
  <c r="K110" i="2" s="1"/>
  <c r="I110" i="2" l="1"/>
  <c r="J110" i="2"/>
  <c r="L110" i="2" l="1"/>
  <c r="M110" i="2" s="1"/>
  <c r="N110" i="2" s="1"/>
  <c r="K111" i="2" l="1"/>
  <c r="I111" i="2"/>
  <c r="J111" i="2"/>
  <c r="L111" i="2" l="1"/>
  <c r="M111" i="2" s="1"/>
  <c r="N111" i="2" s="1"/>
  <c r="J112" i="2" s="1"/>
  <c r="K112" i="2"/>
  <c r="I112" i="2" l="1"/>
  <c r="L112" i="2" l="1"/>
  <c r="M112" i="2" s="1"/>
  <c r="N112" i="2" s="1"/>
  <c r="I113" i="2" s="1"/>
  <c r="J113" i="2" l="1"/>
  <c r="K113" i="2"/>
  <c r="L113" i="2" l="1"/>
  <c r="M113" i="2" s="1"/>
  <c r="N113" i="2" s="1"/>
  <c r="I114" i="2" s="1"/>
  <c r="J114" i="2" l="1"/>
  <c r="K114" i="2"/>
  <c r="L114" i="2" l="1"/>
  <c r="M114" i="2" s="1"/>
  <c r="N114" i="2" s="1"/>
  <c r="I115" i="2" l="1"/>
  <c r="J115" i="2"/>
  <c r="K115" i="2"/>
  <c r="L115" i="2" l="1"/>
  <c r="M115" i="2" s="1"/>
  <c r="N115" i="2" s="1"/>
  <c r="I116" i="2" l="1"/>
  <c r="J116" i="2"/>
  <c r="K116" i="2"/>
  <c r="L116" i="2" l="1"/>
  <c r="M116" i="2" s="1"/>
  <c r="N116" i="2" l="1"/>
  <c r="K117" i="2" l="1"/>
  <c r="J117" i="2"/>
  <c r="I117" i="2"/>
  <c r="L117" i="2" s="1"/>
  <c r="M117" i="2" s="1"/>
  <c r="N117" i="2" l="1"/>
  <c r="I118" i="2" s="1"/>
  <c r="K118" i="2" l="1"/>
  <c r="J118" i="2"/>
  <c r="L118" i="2" l="1"/>
  <c r="M118" i="2" s="1"/>
  <c r="N118" i="2" l="1"/>
  <c r="J119" i="2" l="1"/>
  <c r="K119" i="2"/>
  <c r="I119" i="2"/>
  <c r="L119" i="2" s="1"/>
  <c r="M119" i="2" s="1"/>
  <c r="N119" i="2" l="1"/>
  <c r="I120" i="2" s="1"/>
  <c r="K120" i="2"/>
  <c r="J120" i="2" l="1"/>
  <c r="L120" i="2" l="1"/>
  <c r="M120" i="2" s="1"/>
  <c r="N120" i="2" l="1"/>
  <c r="K121" i="2" l="1"/>
  <c r="J121" i="2"/>
  <c r="I121" i="2"/>
  <c r="L121" i="2" l="1"/>
  <c r="M121" i="2" s="1"/>
  <c r="N121" i="2" s="1"/>
  <c r="I122" i="2" s="1"/>
  <c r="J122" i="2"/>
  <c r="K122" i="2" l="1"/>
  <c r="L122" i="2" l="1"/>
  <c r="M122" i="2" s="1"/>
  <c r="N122" i="2" s="1"/>
  <c r="I123" i="2" l="1"/>
  <c r="J123" i="2"/>
  <c r="K123" i="2"/>
  <c r="L123" i="2" l="1"/>
  <c r="M123" i="2" s="1"/>
  <c r="N123" i="2" s="1"/>
  <c r="K124" i="2" s="1"/>
  <c r="I124" i="2" l="1"/>
  <c r="J124" i="2"/>
  <c r="L124" i="2" l="1"/>
  <c r="M124" i="2" s="1"/>
  <c r="N124" i="2" s="1"/>
  <c r="K125" i="2" s="1"/>
  <c r="I125" i="2"/>
  <c r="J125" i="2" l="1"/>
  <c r="L125" i="2" l="1"/>
  <c r="M125" i="2" s="1"/>
  <c r="N125" i="2" s="1"/>
  <c r="I126" i="2" l="1"/>
  <c r="K126" i="2"/>
  <c r="J126" i="2"/>
  <c r="L126" i="2" l="1"/>
  <c r="M126" i="2" s="1"/>
  <c r="N126" i="2" s="1"/>
  <c r="J127" i="2" s="1"/>
  <c r="I127" i="2" l="1"/>
  <c r="K127" i="2"/>
  <c r="L127" i="2" l="1"/>
  <c r="M127" i="2" s="1"/>
  <c r="N127" i="2" l="1"/>
  <c r="J128" i="2" l="1"/>
  <c r="I128" i="2"/>
  <c r="K128" i="2"/>
  <c r="L128" i="2" l="1"/>
  <c r="M128" i="2" s="1"/>
  <c r="N128" i="2" s="1"/>
  <c r="K129" i="2" s="1"/>
  <c r="I129" i="2"/>
  <c r="J129" i="2"/>
  <c r="L129" i="2" l="1"/>
  <c r="M129" i="2" s="1"/>
  <c r="N129" i="2" l="1"/>
  <c r="K130" i="2" l="1"/>
  <c r="J130" i="2"/>
  <c r="I130" i="2"/>
  <c r="L130" i="2" l="1"/>
  <c r="M130" i="2" s="1"/>
  <c r="N130" i="2" s="1"/>
  <c r="I131" i="2" s="1"/>
  <c r="J131" i="2"/>
  <c r="K131" i="2"/>
  <c r="L131" i="2" l="1"/>
  <c r="M131" i="2" s="1"/>
  <c r="N131" i="2" s="1"/>
  <c r="I132" i="2"/>
  <c r="J132" i="2"/>
  <c r="K132" i="2"/>
  <c r="L132" i="2" l="1"/>
  <c r="M132" i="2" s="1"/>
  <c r="N132" i="2" s="1"/>
  <c r="K133" i="2" s="1"/>
  <c r="J133" i="2" l="1"/>
  <c r="I133" i="2"/>
  <c r="L133" i="2"/>
  <c r="M133" i="2" s="1"/>
  <c r="N133" i="2" l="1"/>
  <c r="K134" i="2" l="1"/>
  <c r="J134" i="2"/>
  <c r="I134" i="2"/>
  <c r="L134" i="2" l="1"/>
  <c r="M134" i="2" s="1"/>
  <c r="N134" i="2" l="1"/>
  <c r="I135" i="2" s="1"/>
  <c r="J135" i="2" l="1"/>
  <c r="K135" i="2"/>
  <c r="L135" i="2"/>
  <c r="M135" i="2" s="1"/>
  <c r="N135" i="2" s="1"/>
  <c r="I136" i="2" s="1"/>
  <c r="J136" i="2" l="1"/>
  <c r="K136" i="2"/>
  <c r="L136" i="2" l="1"/>
  <c r="M136" i="2" s="1"/>
  <c r="N136" i="2" l="1"/>
  <c r="I137" i="2" l="1"/>
  <c r="J137" i="2"/>
  <c r="K137" i="2"/>
  <c r="L137" i="2" l="1"/>
  <c r="M137" i="2" s="1"/>
  <c r="N137" i="2" l="1"/>
  <c r="J138" i="2" l="1"/>
  <c r="I138" i="2"/>
  <c r="K138" i="2"/>
  <c r="L138" i="2" l="1"/>
  <c r="M138" i="2" s="1"/>
  <c r="N138" i="2" l="1"/>
  <c r="I139" i="2" l="1"/>
  <c r="J139" i="2"/>
  <c r="K139" i="2"/>
  <c r="L139" i="2" l="1"/>
  <c r="M139" i="2" s="1"/>
  <c r="N139" i="2" l="1"/>
  <c r="J140" i="2" l="1"/>
  <c r="I140" i="2"/>
  <c r="K140" i="2"/>
  <c r="L140" i="2" l="1"/>
  <c r="M140" i="2" s="1"/>
  <c r="N140" i="2" l="1"/>
  <c r="J141" i="2" l="1"/>
  <c r="I141" i="2"/>
  <c r="K141" i="2"/>
  <c r="L141" i="2" l="1"/>
  <c r="M141" i="2" s="1"/>
  <c r="N141" i="2" s="1"/>
  <c r="I142" i="2" s="1"/>
  <c r="J142" i="2" l="1"/>
  <c r="L142" i="2" s="1"/>
  <c r="M142" i="2" s="1"/>
  <c r="N142" i="2" s="1"/>
  <c r="I143" i="2" s="1"/>
  <c r="K142" i="2"/>
  <c r="K143" i="2" l="1"/>
  <c r="J143" i="2"/>
  <c r="L143" i="2" l="1"/>
  <c r="M143" i="2" s="1"/>
  <c r="N143" i="2" s="1"/>
  <c r="I144" i="2" s="1"/>
  <c r="K144" i="2" l="1"/>
  <c r="J144" i="2"/>
  <c r="L144" i="2" l="1"/>
  <c r="M144" i="2" s="1"/>
  <c r="N144" i="2" s="1"/>
  <c r="I145" i="2" s="1"/>
  <c r="J145" i="2" l="1"/>
  <c r="K145" i="2"/>
  <c r="L145" i="2" l="1"/>
  <c r="M145" i="2" s="1"/>
  <c r="N145" i="2" s="1"/>
  <c r="I146" i="2" s="1"/>
  <c r="J146" i="2" l="1"/>
  <c r="K146" i="2"/>
  <c r="L146" i="2" l="1"/>
  <c r="M146" i="2" s="1"/>
  <c r="N146" i="2" s="1"/>
  <c r="I147" i="2" s="1"/>
  <c r="K147" i="2" l="1"/>
  <c r="J147" i="2"/>
  <c r="L147" i="2" l="1"/>
  <c r="M147" i="2" s="1"/>
  <c r="N147" i="2" s="1"/>
  <c r="I148" i="2" s="1"/>
  <c r="K148" i="2" l="1"/>
  <c r="J148" i="2"/>
  <c r="L148" i="2" l="1"/>
  <c r="M148" i="2" s="1"/>
  <c r="N148" i="2" s="1"/>
  <c r="I149" i="2" s="1"/>
  <c r="K149" i="2" l="1"/>
  <c r="J149" i="2"/>
  <c r="L149" i="2" l="1"/>
  <c r="M149" i="2" s="1"/>
  <c r="N149" i="2" s="1"/>
  <c r="I150" i="2" s="1"/>
  <c r="K150" i="2"/>
  <c r="J150" i="2" l="1"/>
  <c r="L150" i="2" l="1"/>
  <c r="M150" i="2" s="1"/>
  <c r="N150" i="2" s="1"/>
  <c r="K151" i="2" l="1"/>
  <c r="I151" i="2"/>
  <c r="J151" i="2"/>
  <c r="L151" i="2" l="1"/>
  <c r="M151" i="2" s="1"/>
  <c r="N151" i="2" s="1"/>
  <c r="J152" i="2" s="1"/>
  <c r="K152" i="2"/>
  <c r="I152" i="2" l="1"/>
  <c r="L152" i="2" l="1"/>
  <c r="M152" i="2" s="1"/>
  <c r="N152" i="2" s="1"/>
  <c r="I153" i="2" s="1"/>
  <c r="J153" i="2" l="1"/>
  <c r="K153" i="2"/>
  <c r="L153" i="2" l="1"/>
  <c r="M153" i="2" s="1"/>
  <c r="N153" i="2" s="1"/>
  <c r="I154" i="2" s="1"/>
  <c r="J154" i="2" l="1"/>
  <c r="K154" i="2"/>
  <c r="L154" i="2" l="1"/>
  <c r="M154" i="2" s="1"/>
  <c r="N154" i="2" s="1"/>
  <c r="I155" i="2" s="1"/>
  <c r="J155" i="2" l="1"/>
  <c r="K155" i="2"/>
  <c r="L155" i="2" l="1"/>
  <c r="M155" i="2" s="1"/>
  <c r="N155" i="2" s="1"/>
  <c r="I156" i="2" s="1"/>
  <c r="J156" i="2" l="1"/>
  <c r="K156" i="2"/>
  <c r="L156" i="2" l="1"/>
  <c r="M156" i="2" s="1"/>
  <c r="N156" i="2" s="1"/>
  <c r="I157" i="2" s="1"/>
  <c r="K157" i="2" l="1"/>
  <c r="J157" i="2"/>
  <c r="L157" i="2" l="1"/>
  <c r="M157" i="2" s="1"/>
  <c r="N157" i="2" s="1"/>
  <c r="I158" i="2" s="1"/>
  <c r="J158" i="2" l="1"/>
  <c r="K158" i="2"/>
  <c r="L158" i="2" l="1"/>
  <c r="M158" i="2" s="1"/>
  <c r="N158" i="2" s="1"/>
  <c r="I159" i="2" l="1"/>
  <c r="J159" i="2"/>
  <c r="K159" i="2"/>
  <c r="L159" i="2" l="1"/>
  <c r="M159" i="2" s="1"/>
  <c r="N159" i="2" s="1"/>
  <c r="I160" i="2" l="1"/>
  <c r="K160" i="2"/>
  <c r="J160" i="2"/>
  <c r="L160" i="2" l="1"/>
  <c r="M160" i="2" s="1"/>
  <c r="N160" i="2" s="1"/>
  <c r="J161" i="2" l="1"/>
  <c r="I161" i="2"/>
  <c r="K161" i="2"/>
  <c r="L161" i="2" l="1"/>
  <c r="M161" i="2" s="1"/>
  <c r="N161" i="2" s="1"/>
  <c r="I162" i="2" s="1"/>
  <c r="J162" i="2" l="1"/>
  <c r="K162" i="2"/>
  <c r="L162" i="2" l="1"/>
  <c r="M162" i="2" s="1"/>
  <c r="N162" i="2" s="1"/>
  <c r="I163" i="2" s="1"/>
  <c r="J163" i="2" l="1"/>
  <c r="K163" i="2"/>
  <c r="L163" i="2" l="1"/>
  <c r="M163" i="2" s="1"/>
  <c r="N163" i="2" s="1"/>
  <c r="I164" i="2" s="1"/>
  <c r="J164" i="2" l="1"/>
  <c r="K164" i="2"/>
  <c r="L164" i="2" l="1"/>
  <c r="M164" i="2" s="1"/>
  <c r="N164" i="2" s="1"/>
  <c r="I165" i="2" s="1"/>
  <c r="J165" i="2" l="1"/>
  <c r="K165" i="2"/>
  <c r="L165" i="2" l="1"/>
  <c r="M165" i="2" s="1"/>
  <c r="N165" i="2" s="1"/>
  <c r="I166" i="2" s="1"/>
  <c r="K166" i="2" l="1"/>
  <c r="J166" i="2"/>
  <c r="L166" i="2" l="1"/>
  <c r="M166" i="2" s="1"/>
  <c r="N166" i="2" s="1"/>
  <c r="I167" i="2" s="1"/>
  <c r="K167" i="2" l="1"/>
  <c r="J167" i="2"/>
  <c r="L167" i="2" l="1"/>
  <c r="M167" i="2" s="1"/>
  <c r="N167" i="2" s="1"/>
  <c r="I168" i="2" s="1"/>
  <c r="K168" i="2" l="1"/>
  <c r="J168" i="2"/>
  <c r="L168" i="2" l="1"/>
  <c r="M168" i="2" s="1"/>
  <c r="N168" i="2" s="1"/>
  <c r="I169" i="2" s="1"/>
  <c r="K169" i="2" l="1"/>
  <c r="J169" i="2"/>
  <c r="L169" i="2" l="1"/>
  <c r="M169" i="2" s="1"/>
  <c r="N169" i="2" s="1"/>
  <c r="I170" i="2" s="1"/>
  <c r="K170" i="2" l="1"/>
  <c r="J170" i="2"/>
  <c r="L170" i="2" l="1"/>
  <c r="M170" i="2" s="1"/>
  <c r="N170" i="2" s="1"/>
  <c r="I171" i="2" s="1"/>
  <c r="K171" i="2" l="1"/>
  <c r="J171" i="2"/>
  <c r="L171" i="2" l="1"/>
  <c r="M171" i="2" s="1"/>
  <c r="N171" i="2" s="1"/>
  <c r="I172" i="2" s="1"/>
  <c r="J172" i="2" l="1"/>
  <c r="K172" i="2"/>
  <c r="L172" i="2" l="1"/>
  <c r="M172" i="2" s="1"/>
  <c r="N172" i="2" s="1"/>
  <c r="I173" i="2" s="1"/>
  <c r="K173" i="2" l="1"/>
  <c r="J173" i="2"/>
  <c r="L173" i="2" l="1"/>
  <c r="M173" i="2" s="1"/>
  <c r="N173" i="2" s="1"/>
  <c r="I174" i="2" s="1"/>
  <c r="K174" i="2" l="1"/>
  <c r="J174" i="2"/>
  <c r="L174" i="2" s="1"/>
  <c r="M174" i="2" s="1"/>
  <c r="N174" i="2" s="1"/>
  <c r="I175" i="2" s="1"/>
  <c r="J175" i="2" l="1"/>
  <c r="K175" i="2"/>
  <c r="L175" i="2" l="1"/>
  <c r="M175" i="2" s="1"/>
  <c r="N175" i="2" s="1"/>
  <c r="I176" i="2" s="1"/>
  <c r="J176" i="2" l="1"/>
  <c r="L176" i="2" s="1"/>
  <c r="M176" i="2" s="1"/>
  <c r="N176" i="2" s="1"/>
  <c r="I177" i="2" s="1"/>
  <c r="K176" i="2"/>
  <c r="K177" i="2" l="1"/>
  <c r="J177" i="2"/>
  <c r="L177" i="2" l="1"/>
  <c r="M177" i="2" s="1"/>
  <c r="N177" i="2" s="1"/>
  <c r="I178" i="2" s="1"/>
  <c r="J178" i="2" l="1"/>
  <c r="K178" i="2"/>
  <c r="L178" i="2" l="1"/>
  <c r="M178" i="2" s="1"/>
  <c r="N178" i="2" s="1"/>
  <c r="I179" i="2" s="1"/>
  <c r="J179" i="2" l="1"/>
  <c r="K179" i="2"/>
  <c r="L179" i="2" l="1"/>
  <c r="M179" i="2" s="1"/>
  <c r="N179" i="2" s="1"/>
  <c r="I180" i="2" s="1"/>
  <c r="K180" i="2" l="1"/>
  <c r="J180" i="2"/>
  <c r="L180" i="2" l="1"/>
  <c r="M180" i="2" s="1"/>
  <c r="N180" i="2" s="1"/>
  <c r="I181" i="2" l="1"/>
  <c r="K181" i="2"/>
  <c r="J181" i="2"/>
  <c r="L181" i="2" l="1"/>
  <c r="M181" i="2" s="1"/>
  <c r="N181" i="2" s="1"/>
  <c r="I182" i="2" l="1"/>
  <c r="K182" i="2"/>
  <c r="J182" i="2"/>
  <c r="L182" i="2" l="1"/>
  <c r="M182" i="2" s="1"/>
  <c r="N182" i="2" s="1"/>
  <c r="I183" i="2" s="1"/>
  <c r="K183" i="2" l="1"/>
  <c r="J183" i="2"/>
  <c r="L183" i="2" l="1"/>
  <c r="M183" i="2" s="1"/>
  <c r="N183" i="2" s="1"/>
  <c r="I184" i="2" s="1"/>
  <c r="K184" i="2" l="1"/>
  <c r="J184" i="2"/>
  <c r="L184" i="2" l="1"/>
  <c r="M184" i="2" s="1"/>
  <c r="N184" i="2" s="1"/>
  <c r="I185" i="2" s="1"/>
  <c r="K185" i="2" l="1"/>
  <c r="J185" i="2"/>
  <c r="L185" i="2" l="1"/>
  <c r="M185" i="2" s="1"/>
  <c r="N185" i="2" s="1"/>
  <c r="I186" i="2" s="1"/>
  <c r="J186" i="2" l="1"/>
  <c r="K186" i="2"/>
  <c r="L186" i="2" l="1"/>
  <c r="M186" i="2" s="1"/>
  <c r="N186" i="2" s="1"/>
  <c r="I187" i="2" s="1"/>
  <c r="J187" i="2" l="1"/>
  <c r="K187" i="2"/>
  <c r="L187" i="2" l="1"/>
  <c r="M187" i="2" s="1"/>
  <c r="N187" i="2" s="1"/>
  <c r="I188" i="2" s="1"/>
  <c r="J188" i="2" l="1"/>
  <c r="K188" i="2"/>
  <c r="L188" i="2" l="1"/>
  <c r="M188" i="2" s="1"/>
  <c r="N188" i="2" s="1"/>
  <c r="I189" i="2" s="1"/>
  <c r="J189" i="2" l="1"/>
  <c r="K189" i="2"/>
  <c r="L189" i="2" l="1"/>
  <c r="M189" i="2" s="1"/>
  <c r="N189" i="2" s="1"/>
  <c r="I190" i="2" s="1"/>
  <c r="K190" i="2" l="1"/>
  <c r="J190" i="2"/>
  <c r="L190" i="2" l="1"/>
  <c r="M190" i="2" s="1"/>
  <c r="N190" i="2" s="1"/>
  <c r="I191" i="2" s="1"/>
  <c r="K191" i="2" l="1"/>
  <c r="J191" i="2"/>
  <c r="L191" i="2" l="1"/>
  <c r="M191" i="2" s="1"/>
  <c r="N191" i="2" s="1"/>
  <c r="I192" i="2" s="1"/>
  <c r="K192" i="2" l="1"/>
  <c r="J192" i="2"/>
  <c r="L192" i="2" l="1"/>
  <c r="M192" i="2" s="1"/>
  <c r="N192" i="2" s="1"/>
  <c r="I193" i="2" s="1"/>
  <c r="K193" i="2" l="1"/>
  <c r="J193" i="2"/>
  <c r="L193" i="2" l="1"/>
  <c r="M193" i="2" s="1"/>
  <c r="N193" i="2" s="1"/>
  <c r="I194" i="2" s="1"/>
  <c r="K194" i="2" l="1"/>
  <c r="J194" i="2"/>
  <c r="L194" i="2" l="1"/>
  <c r="M194" i="2" s="1"/>
  <c r="N194" i="2" s="1"/>
  <c r="I195" i="2" s="1"/>
  <c r="K195" i="2" l="1"/>
  <c r="J195" i="2"/>
  <c r="L195" i="2" l="1"/>
  <c r="M195" i="2" s="1"/>
  <c r="N195" i="2" s="1"/>
  <c r="I196" i="2" s="1"/>
  <c r="K196" i="2" l="1"/>
  <c r="J196" i="2"/>
  <c r="L196" i="2" l="1"/>
  <c r="M196" i="2" s="1"/>
  <c r="N196" i="2" s="1"/>
  <c r="I197" i="2" s="1"/>
  <c r="K197" i="2" l="1"/>
  <c r="J197" i="2"/>
  <c r="L197" i="2" l="1"/>
  <c r="M197" i="2" s="1"/>
  <c r="N197" i="2" s="1"/>
  <c r="I198" i="2" s="1"/>
  <c r="K198" i="2" l="1"/>
  <c r="J198" i="2"/>
  <c r="L198" i="2" l="1"/>
  <c r="M198" i="2" s="1"/>
  <c r="N198" i="2" s="1"/>
  <c r="I199" i="2" s="1"/>
  <c r="K199" i="2" l="1"/>
  <c r="J199" i="2"/>
  <c r="L199" i="2" l="1"/>
  <c r="M199" i="2" s="1"/>
  <c r="N199" i="2" s="1"/>
  <c r="I200" i="2" s="1"/>
  <c r="K200" i="2"/>
  <c r="J200" i="2" l="1"/>
  <c r="L200" i="2" l="1"/>
  <c r="M200" i="2" s="1"/>
  <c r="N200" i="2" s="1"/>
  <c r="K201" i="2" l="1"/>
  <c r="I201" i="2"/>
  <c r="J201" i="2"/>
  <c r="L201" i="2" l="1"/>
  <c r="M201" i="2" s="1"/>
  <c r="N201" i="2" s="1"/>
  <c r="J202" i="2" s="1"/>
  <c r="K202" i="2"/>
  <c r="I202" i="2" l="1"/>
  <c r="L202" i="2" l="1"/>
  <c r="M202" i="2" s="1"/>
  <c r="N202" i="2" s="1"/>
  <c r="J203" i="2" l="1"/>
  <c r="K203" i="2"/>
  <c r="I203" i="2"/>
  <c r="L203" i="2" l="1"/>
  <c r="M203" i="2" s="1"/>
  <c r="N203" i="2" s="1"/>
  <c r="J204" i="2"/>
  <c r="I204" i="2" l="1"/>
  <c r="K204" i="2"/>
  <c r="L204" i="2" l="1"/>
  <c r="M204" i="2" s="1"/>
  <c r="N204" i="2" s="1"/>
  <c r="J205" i="2" l="1"/>
  <c r="I205" i="2"/>
  <c r="K205" i="2"/>
  <c r="L205" i="2" l="1"/>
  <c r="M205" i="2" s="1"/>
  <c r="N205" i="2" s="1"/>
  <c r="K206" i="2" s="1"/>
  <c r="J206" i="2"/>
  <c r="I206" i="2" l="1"/>
  <c r="L206" i="2" l="1"/>
  <c r="M206" i="2" s="1"/>
  <c r="N206" i="2" s="1"/>
  <c r="K207" i="2" l="1"/>
  <c r="J207" i="2"/>
  <c r="I207" i="2"/>
  <c r="L207" i="2" l="1"/>
  <c r="M207" i="2" s="1"/>
  <c r="N207" i="2" s="1"/>
  <c r="J208" i="2" s="1"/>
  <c r="K208" i="2" l="1"/>
  <c r="I208" i="2"/>
  <c r="L208" i="2" l="1"/>
  <c r="M208" i="2" s="1"/>
  <c r="N208" i="2" s="1"/>
  <c r="J209" i="2" s="1"/>
  <c r="K209" i="2"/>
  <c r="I209" i="2" l="1"/>
  <c r="L209" i="2" l="1"/>
  <c r="M209" i="2" s="1"/>
  <c r="N209" i="2" s="1"/>
  <c r="I210" i="2" s="1"/>
  <c r="K210" i="2" l="1"/>
  <c r="J210" i="2"/>
  <c r="L210" i="2" l="1"/>
  <c r="M210" i="2" s="1"/>
  <c r="N210" i="2" s="1"/>
  <c r="I211" i="2" s="1"/>
  <c r="K211" i="2" l="1"/>
  <c r="J211" i="2"/>
  <c r="L211" i="2" l="1"/>
  <c r="M211" i="2" s="1"/>
  <c r="N211" i="2" s="1"/>
  <c r="I212" i="2" s="1"/>
  <c r="J212" i="2" l="1"/>
  <c r="K212" i="2"/>
  <c r="L212" i="2" l="1"/>
  <c r="M212" i="2" s="1"/>
  <c r="N212" i="2" s="1"/>
  <c r="I213" i="2" s="1"/>
  <c r="J213" i="2"/>
  <c r="L213" i="2" l="1"/>
  <c r="M213" i="2" s="1"/>
  <c r="N213" i="2" s="1"/>
  <c r="J214" i="2" s="1"/>
  <c r="K213" i="2"/>
  <c r="K214" i="2" l="1"/>
  <c r="I214" i="2"/>
  <c r="L214" i="2" l="1"/>
  <c r="M214" i="2" s="1"/>
  <c r="N214" i="2" s="1"/>
  <c r="J215" i="2" s="1"/>
  <c r="K215" i="2" l="1"/>
  <c r="I215" i="2"/>
  <c r="L215" i="2" l="1"/>
  <c r="M215" i="2" s="1"/>
  <c r="N215" i="2" s="1"/>
  <c r="J216" i="2" s="1"/>
  <c r="I216" i="2"/>
  <c r="K216" i="2"/>
  <c r="L216" i="2" l="1"/>
  <c r="M216" i="2" s="1"/>
  <c r="N216" i="2" s="1"/>
  <c r="I217" i="2" s="1"/>
  <c r="K217" i="2"/>
  <c r="J217" i="2"/>
  <c r="L217" i="2" l="1"/>
  <c r="M217" i="2" s="1"/>
  <c r="N217" i="2" s="1"/>
  <c r="I218" i="2" s="1"/>
  <c r="J218" i="2"/>
  <c r="K218" i="2" l="1"/>
  <c r="L218" i="2" l="1"/>
  <c r="M218" i="2" s="1"/>
  <c r="N218" i="2" s="1"/>
  <c r="I219" i="2" l="1"/>
  <c r="J219" i="2"/>
  <c r="K219" i="2"/>
  <c r="L219" i="2" l="1"/>
  <c r="M219" i="2" s="1"/>
  <c r="N219" i="2" s="1"/>
  <c r="J220" i="2" s="1"/>
  <c r="K220" i="2" l="1"/>
  <c r="I220" i="2"/>
  <c r="L220" i="2" l="1"/>
  <c r="M220" i="2" s="1"/>
  <c r="N220" i="2" s="1"/>
  <c r="J221" i="2" s="1"/>
  <c r="I221" i="2" l="1"/>
  <c r="K221" i="2"/>
  <c r="L221" i="2" l="1"/>
  <c r="M221" i="2" s="1"/>
  <c r="N221" i="2" s="1"/>
  <c r="J222" i="2" s="1"/>
  <c r="I222" i="2" l="1"/>
  <c r="K222" i="2"/>
  <c r="L222" i="2"/>
  <c r="M222" i="2" s="1"/>
  <c r="N222" i="2" s="1"/>
  <c r="J223" i="2" s="1"/>
  <c r="I223" i="2" l="1"/>
  <c r="K223" i="2"/>
  <c r="B2" i="8"/>
  <c r="B3" i="8"/>
  <c r="B4" i="8"/>
  <c r="B5" i="8"/>
  <c r="B6" i="8"/>
  <c r="B7" i="8"/>
  <c r="B8" i="8"/>
  <c r="B9" i="8"/>
  <c r="B10" i="8"/>
  <c r="D15" i="5" l="1"/>
  <c r="E15" i="5" s="1"/>
  <c r="F15" i="5" s="1"/>
  <c r="D29" i="5"/>
  <c r="E29" i="5" s="1"/>
  <c r="F29" i="5" s="1"/>
  <c r="D16" i="5"/>
  <c r="E16" i="5" s="1"/>
  <c r="F16" i="5" s="1"/>
  <c r="D17" i="5"/>
  <c r="E17" i="5" s="1"/>
  <c r="F17" i="5" s="1"/>
  <c r="D18" i="5"/>
  <c r="E18" i="5" s="1"/>
  <c r="F18" i="5" s="1"/>
  <c r="D19" i="5"/>
  <c r="E19" i="5" s="1"/>
  <c r="F19" i="5" s="1"/>
  <c r="D20" i="5"/>
  <c r="E20" i="5" s="1"/>
  <c r="F20" i="5" s="1"/>
  <c r="D21" i="5"/>
  <c r="E21" i="5" s="1"/>
  <c r="F21" i="5" s="1"/>
  <c r="D22" i="5"/>
  <c r="E22" i="5" s="1"/>
  <c r="F22" i="5" s="1"/>
  <c r="D23" i="5"/>
  <c r="E23" i="5" s="1"/>
  <c r="F23" i="5" s="1"/>
  <c r="D24" i="5"/>
  <c r="E24" i="5" s="1"/>
  <c r="F24" i="5" s="1"/>
  <c r="D25" i="5"/>
  <c r="E25" i="5" s="1"/>
  <c r="F25" i="5" s="1"/>
  <c r="D26" i="5"/>
  <c r="E26" i="5" s="1"/>
  <c r="F26" i="5" s="1"/>
  <c r="D27" i="5"/>
  <c r="E27" i="5" s="1"/>
  <c r="F27" i="5" s="1"/>
  <c r="D28" i="5"/>
  <c r="E28" i="5" s="1"/>
  <c r="F28" i="5" s="1"/>
  <c r="L223" i="2"/>
  <c r="M223" i="2" s="1"/>
  <c r="N223" i="2" s="1"/>
  <c r="B11" i="8" s="1"/>
  <c r="D11" i="5"/>
  <c r="E11" i="5" s="1"/>
  <c r="F11" i="5" s="1"/>
  <c r="D9" i="5"/>
  <c r="E9" i="5" s="1"/>
  <c r="F9" i="5" s="1"/>
  <c r="D7" i="5"/>
  <c r="E7" i="5" s="1"/>
  <c r="F7" i="5" s="1"/>
  <c r="D8" i="5"/>
  <c r="E8" i="5" s="1"/>
  <c r="F8" i="5" s="1"/>
  <c r="D10" i="5"/>
  <c r="E10" i="5" s="1"/>
  <c r="F10" i="5" s="1"/>
  <c r="D13" i="5"/>
  <c r="E13" i="5" s="1"/>
  <c r="F13" i="5" s="1"/>
  <c r="D14" i="5"/>
  <c r="E14" i="5" s="1"/>
  <c r="F14" i="5" s="1"/>
  <c r="D6" i="5"/>
  <c r="E6" i="5" s="1"/>
  <c r="F6" i="5" s="1"/>
  <c r="D4" i="5"/>
  <c r="E4" i="5" s="1"/>
  <c r="F4" i="5" s="1"/>
  <c r="D5" i="5"/>
  <c r="E5" i="5" s="1"/>
  <c r="F5" i="5" s="1"/>
  <c r="D12" i="5"/>
  <c r="E12" i="5" s="1"/>
  <c r="F12" i="5" s="1"/>
</calcChain>
</file>

<file path=xl/sharedStrings.xml><?xml version="1.0" encoding="utf-8"?>
<sst xmlns="http://schemas.openxmlformats.org/spreadsheetml/2006/main" count="347" uniqueCount="167">
  <si>
    <t>Bias</t>
  </si>
  <si>
    <t>Summe</t>
  </si>
  <si>
    <t>Vorhersage</t>
  </si>
  <si>
    <t>Fehler</t>
  </si>
  <si>
    <t>Name</t>
  </si>
  <si>
    <t>Ananas</t>
  </si>
  <si>
    <t>Wertx1</t>
  </si>
  <si>
    <t>Wertx2</t>
  </si>
  <si>
    <t>Gewicht w1</t>
  </si>
  <si>
    <t>Gewicht w2</t>
  </si>
  <si>
    <t>Lernrate</t>
  </si>
  <si>
    <t>Holunderbeere</t>
  </si>
  <si>
    <t>Kiwi</t>
  </si>
  <si>
    <t>Quitte</t>
  </si>
  <si>
    <t>Stachelbeere</t>
  </si>
  <si>
    <t>Zwetschge</t>
  </si>
  <si>
    <t>Gartensalat</t>
  </si>
  <si>
    <t>Lauch</t>
  </si>
  <si>
    <t>Rote Peperoni</t>
  </si>
  <si>
    <t>Schwarzwurzel</t>
  </si>
  <si>
    <t>Obst</t>
  </si>
  <si>
    <t>Gemüse</t>
  </si>
  <si>
    <t>Aubergine</t>
  </si>
  <si>
    <t>Fenchel</t>
  </si>
  <si>
    <t>Erbsen</t>
  </si>
  <si>
    <t>Grünkohl</t>
  </si>
  <si>
    <t>Heidelbeere</t>
  </si>
  <si>
    <t>Apfel</t>
  </si>
  <si>
    <t>Zuweisung</t>
  </si>
  <si>
    <t>Lebensmittelname</t>
  </si>
  <si>
    <t>Zuweisungscode</t>
  </si>
  <si>
    <t>Wert x1 (Zucker in g)</t>
  </si>
  <si>
    <t>Wert x2 (Magnesium in mg)</t>
  </si>
  <si>
    <t>Die Trainingsdaten beinhalten für bekannte Lebensmittel eine nachvollziehbare Zuteilung gemäß der Nutzungsform in der Küche (nicht die botanische Definition!).</t>
  </si>
  <si>
    <t>Traningsdaten für das Perzeptron</t>
  </si>
  <si>
    <t>Schnittlauch</t>
  </si>
  <si>
    <t>Mango</t>
  </si>
  <si>
    <t>Mandarine</t>
  </si>
  <si>
    <t>Granatapfel</t>
  </si>
  <si>
    <t>Mangold</t>
  </si>
  <si>
    <t>Weintraube</t>
  </si>
  <si>
    <t>Zucchini</t>
  </si>
  <si>
    <t>Anwendungsdaten für das Perzeptron</t>
  </si>
  <si>
    <t>Spinat</t>
  </si>
  <si>
    <t>Preiselbeere</t>
  </si>
  <si>
    <t>Banane</t>
  </si>
  <si>
    <t>Broccoli</t>
  </si>
  <si>
    <t xml:space="preserve">Peperoni </t>
  </si>
  <si>
    <t>Rocula</t>
  </si>
  <si>
    <t>ID</t>
  </si>
  <si>
    <t>Kategorie</t>
  </si>
  <si>
    <t>Energie, Kilojoule (kJ)</t>
  </si>
  <si>
    <t>Fett, total (g)</t>
  </si>
  <si>
    <t>Fettsäuren, gesättigt (g)</t>
  </si>
  <si>
    <t>Fettsäuren, einfach ungesättigt (g)</t>
  </si>
  <si>
    <t>Fettsäuren, mehrfach ungesättigt (g)</t>
  </si>
  <si>
    <t>Kohlenhydrate, verfügbar (g)</t>
  </si>
  <si>
    <t>Zucker (g)</t>
  </si>
  <si>
    <t>Stärke (g)</t>
  </si>
  <si>
    <t>Ballaststoffe (g)</t>
  </si>
  <si>
    <t>Protein (g)</t>
  </si>
  <si>
    <t>Vitamin A-Aktivität, RE (µg-RE)</t>
  </si>
  <si>
    <t>Vitamin A-Aktivität, RAE (µg-RE)</t>
  </si>
  <si>
    <t>Betacarotin-Aktivität (µg-BCE)</t>
  </si>
  <si>
    <t>Betacarotin (µg)</t>
  </si>
  <si>
    <t>Vitamin B1 (Thiamin) (mg)</t>
  </si>
  <si>
    <t>Vitamin B2 (Riboflavin) (mg)</t>
  </si>
  <si>
    <t>Vitamin B6 (Pyridoxin) (mg)</t>
  </si>
  <si>
    <t>Niacin (mg)</t>
  </si>
  <si>
    <t>Folat (µg)</t>
  </si>
  <si>
    <t>Pantothensäure (mg)</t>
  </si>
  <si>
    <t>Vitamin C (Ascorbinsäure) (mg)</t>
  </si>
  <si>
    <t>Vitamin E (α-Tocopherol) (mg)</t>
  </si>
  <si>
    <t>Kalium (K) (mg)</t>
  </si>
  <si>
    <t>Natrium (Na) (mg)</t>
  </si>
  <si>
    <t>Chlorid (Cl) (mg)</t>
  </si>
  <si>
    <t>Calcium (Ca) (mg)</t>
  </si>
  <si>
    <t>Magnesium (Mg) (mg)</t>
  </si>
  <si>
    <t>Phosphor (P) (mg)</t>
  </si>
  <si>
    <t>Eisen (Fe) (mg)</t>
  </si>
  <si>
    <t>Jod (I) (µg)</t>
  </si>
  <si>
    <t>Zink (Zn)  (mg)</t>
  </si>
  <si>
    <t>Selen (Se) (µg)</t>
  </si>
  <si>
    <t>Fruechte</t>
  </si>
  <si>
    <t>Gemuese</t>
  </si>
  <si>
    <t>Kirsche, roh</t>
  </si>
  <si>
    <t>DATA-ID</t>
  </si>
  <si>
    <t>DUMMY 1</t>
  </si>
  <si>
    <t>DUMMY 2</t>
  </si>
  <si>
    <t>Aprikose</t>
  </si>
  <si>
    <t>Basilikum</t>
  </si>
  <si>
    <t>Birne</t>
  </si>
  <si>
    <t>Blumenkohl</t>
  </si>
  <si>
    <t>Bohne</t>
  </si>
  <si>
    <t>Brombeere</t>
  </si>
  <si>
    <t>Brunnenkresse</t>
  </si>
  <si>
    <t>Champignon</t>
  </si>
  <si>
    <t>Chicorée</t>
  </si>
  <si>
    <t>Chinakohl</t>
  </si>
  <si>
    <t>Cicorino rot</t>
  </si>
  <si>
    <t>Eierschwamm</t>
  </si>
  <si>
    <t>Eisbergsalat</t>
  </si>
  <si>
    <t>Endivie</t>
  </si>
  <si>
    <t>Erbse, grün</t>
  </si>
  <si>
    <t>Erdbeere</t>
  </si>
  <si>
    <t>Feige</t>
  </si>
  <si>
    <t>Feldsalat</t>
  </si>
  <si>
    <t>Grapefruit (weiss oder rot)</t>
  </si>
  <si>
    <t>Gurke</t>
  </si>
  <si>
    <t>Himbeere</t>
  </si>
  <si>
    <t>Holunderbeere, schwarz</t>
  </si>
  <si>
    <t>Honigmelone</t>
  </si>
  <si>
    <t>Johannisbeere, rot</t>
  </si>
  <si>
    <t>Johannisbeere, schwarz</t>
  </si>
  <si>
    <t>Kaki</t>
  </si>
  <si>
    <t>Karotte</t>
  </si>
  <si>
    <t>Knoblauch</t>
  </si>
  <si>
    <t>Knollensellerie</t>
  </si>
  <si>
    <t>Kohlrabi</t>
  </si>
  <si>
    <t>Kopfsalat</t>
  </si>
  <si>
    <t>Kürbis</t>
  </si>
  <si>
    <t>Mais</t>
  </si>
  <si>
    <t>Maniok, Wurzelknolle</t>
  </si>
  <si>
    <t>Mirabelle</t>
  </si>
  <si>
    <t>Morchel</t>
  </si>
  <si>
    <t>Nektarine</t>
  </si>
  <si>
    <t>Orange</t>
  </si>
  <si>
    <t>Papaya</t>
  </si>
  <si>
    <t>Passionsfrucht</t>
  </si>
  <si>
    <t>Pastinake</t>
  </si>
  <si>
    <t>Peperoni, grün</t>
  </si>
  <si>
    <t>Peperoni, rot</t>
  </si>
  <si>
    <t>Petersilie</t>
  </si>
  <si>
    <t>Pfefferminze</t>
  </si>
  <si>
    <t>Pfirsich, gelb</t>
  </si>
  <si>
    <t>Pflaume</t>
  </si>
  <si>
    <t>Radieschen</t>
  </si>
  <si>
    <t>Rande</t>
  </si>
  <si>
    <t>Rettich</t>
  </si>
  <si>
    <t>Rhabarber</t>
  </si>
  <si>
    <t>Rosenkohl</t>
  </si>
  <si>
    <t>Rosmarin</t>
  </si>
  <si>
    <t>Rotkohl</t>
  </si>
  <si>
    <t>Rucola</t>
  </si>
  <si>
    <t>Salbei</t>
  </si>
  <si>
    <t>Sojasprossen</t>
  </si>
  <si>
    <t>Spargel, (weiss und grün)</t>
  </si>
  <si>
    <t>Stangensellerie</t>
  </si>
  <si>
    <t>Steinpilz</t>
  </si>
  <si>
    <t>Thymian</t>
  </si>
  <si>
    <t>Tomate</t>
  </si>
  <si>
    <t>Topinambur</t>
  </si>
  <si>
    <t>Traube, weiss</t>
  </si>
  <si>
    <t>Wassermelone</t>
  </si>
  <si>
    <t>Weisskohl</t>
  </si>
  <si>
    <t>Wirsing</t>
  </si>
  <si>
    <t>Zitrone</t>
  </si>
  <si>
    <t>Zuckererbse</t>
  </si>
  <si>
    <t>Zuckerhutsalat</t>
  </si>
  <si>
    <t>Zwiebel</t>
  </si>
  <si>
    <t>Obst  entspricht dem Zuweisungscode 1 und Gemüse dem Zuweisungscode 0.</t>
  </si>
  <si>
    <t>Epochenanzahl</t>
  </si>
  <si>
    <t>Lern</t>
  </si>
  <si>
    <t>Trainingsdatensätze</t>
  </si>
  <si>
    <t>Epoche</t>
  </si>
  <si>
    <t>Datensatz in Epoche</t>
  </si>
  <si>
    <t>Fehleranzahl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</si>
</sst>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 textRotation="90"/>
    </xf>
    <xf numFmtId="0" fontId="4" fillId="0" borderId="0" xfId="0" applyFont="1" applyFill="1" applyAlignment="1">
      <alignment horizontal="center" vertical="center" textRotation="90"/>
    </xf>
    <xf numFmtId="0" fontId="0" fillId="2" borderId="0" xfId="0" applyFill="1"/>
    <xf numFmtId="0" fontId="0" fillId="3" borderId="0" xfId="0" applyFill="1"/>
    <xf numFmtId="0" fontId="2" fillId="5" borderId="0" xfId="0" applyFont="1" applyFill="1" applyAlignment="1">
      <alignment horizontal="center" vertical="center"/>
    </xf>
    <xf numFmtId="0" fontId="0" fillId="4" borderId="0" xfId="0" applyFill="1"/>
    <xf numFmtId="0" fontId="2" fillId="4" borderId="0" xfId="0" applyFont="1" applyFill="1"/>
    <xf numFmtId="0" fontId="0" fillId="4" borderId="0" xfId="0" applyFont="1" applyFill="1"/>
    <xf numFmtId="0" fontId="0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</cellXfs>
  <cellStyles count="1">
    <cellStyle name="Standard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9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Streudiagramm für Zucker- und Magensium-Gehalte in Lebensmitteln</a:t>
            </a:r>
          </a:p>
        </c:rich>
      </c:tx>
      <c:layout>
        <c:manualLayout>
          <c:xMode val="edge"/>
          <c:yMode val="edge"/>
          <c:x val="0.16877158683610297"/>
          <c:y val="1.4861995753715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Visualisierung!$E$5</c:f>
              <c:strCache>
                <c:ptCount val="1"/>
                <c:pt idx="0">
                  <c:v>Wert x2 (Magnesium in mg)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3D00EB75-EDB9-406E-BFD6-196BBB12725E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45B-433A-9EE2-3C61CEBE1DFF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1487EC90-49BF-4E16-9403-2CE0D0B6ADA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45B-433A-9EE2-3C61CEBE1DFF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0DEF5225-8CDF-4997-A15F-27FA6B77D68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45B-433A-9EE2-3C61CEBE1DFF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2CADA32C-4A0C-4426-9AE8-AC037F66DB1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45B-433A-9EE2-3C61CEBE1DFF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6732698A-791A-4265-BFE7-DBF4A6D9424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45B-433A-9EE2-3C61CEBE1DFF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27C5B4DE-3120-4499-9B89-F936B2FC1F3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45B-433A-9EE2-3C61CEBE1DFF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56424837-9982-4B96-B04B-B66BD865E5A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45B-433A-9EE2-3C61CEBE1DFF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1BAEC491-1791-4AF9-8412-8B95ABA3DFE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45B-433A-9EE2-3C61CEBE1DFF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72520C15-4D5B-47D5-A23B-5DCC5A9991F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45B-433A-9EE2-3C61CEBE1DFF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E6A537A7-3F26-4E94-9923-8F40F9494DE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240-4DB9-AB86-79028AAE92F9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1BF68857-B8E3-41CB-9F17-1D71DA664A1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240-4DB9-AB86-79028AAE92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Visualisierung!$D$6:$D$16</c:f>
              <c:numCache>
                <c:formatCode>General</c:formatCode>
                <c:ptCount val="11"/>
                <c:pt idx="0">
                  <c:v>10.5</c:v>
                </c:pt>
                <c:pt idx="1">
                  <c:v>8.6</c:v>
                </c:pt>
                <c:pt idx="2">
                  <c:v>12</c:v>
                </c:pt>
                <c:pt idx="3">
                  <c:v>13.3</c:v>
                </c:pt>
                <c:pt idx="4">
                  <c:v>8.9</c:v>
                </c:pt>
                <c:pt idx="5">
                  <c:v>14.6</c:v>
                </c:pt>
                <c:pt idx="6">
                  <c:v>7.3</c:v>
                </c:pt>
                <c:pt idx="7">
                  <c:v>7.1</c:v>
                </c:pt>
                <c:pt idx="8">
                  <c:v>8.8000000000000007</c:v>
                </c:pt>
                <c:pt idx="9">
                  <c:v>10</c:v>
                </c:pt>
                <c:pt idx="10">
                  <c:v>11.5</c:v>
                </c:pt>
              </c:numCache>
            </c:numRef>
          </c:xVal>
          <c:yVal>
            <c:numRef>
              <c:f>Visualisierung!$E$6:$E$16</c:f>
              <c:numCache>
                <c:formatCode>General</c:formatCode>
                <c:ptCount val="11"/>
                <c:pt idx="0">
                  <c:v>11</c:v>
                </c:pt>
                <c:pt idx="1">
                  <c:v>9.3000000000000007</c:v>
                </c:pt>
                <c:pt idx="2">
                  <c:v>9</c:v>
                </c:pt>
                <c:pt idx="3">
                  <c:v>12</c:v>
                </c:pt>
                <c:pt idx="4">
                  <c:v>13</c:v>
                </c:pt>
                <c:pt idx="5">
                  <c:v>7.6</c:v>
                </c:pt>
                <c:pt idx="6">
                  <c:v>8.1999999999999993</c:v>
                </c:pt>
                <c:pt idx="7">
                  <c:v>8</c:v>
                </c:pt>
                <c:pt idx="8">
                  <c:v>8</c:v>
                </c:pt>
                <c:pt idx="9">
                  <c:v>5</c:v>
                </c:pt>
                <c:pt idx="10">
                  <c:v>6.5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Visualisierung!$A$6:$A$16</c15:f>
                <c15:dlblRangeCache>
                  <c:ptCount val="11"/>
                  <c:pt idx="0">
                    <c:v>Ananas</c:v>
                  </c:pt>
                  <c:pt idx="1">
                    <c:v>Mandarine</c:v>
                  </c:pt>
                  <c:pt idx="2">
                    <c:v>Mango</c:v>
                  </c:pt>
                  <c:pt idx="3">
                    <c:v>Granatapfel</c:v>
                  </c:pt>
                  <c:pt idx="4">
                    <c:v>Kiwi</c:v>
                  </c:pt>
                  <c:pt idx="5">
                    <c:v>Weintraube</c:v>
                  </c:pt>
                  <c:pt idx="6">
                    <c:v>Quitte</c:v>
                  </c:pt>
                  <c:pt idx="7">
                    <c:v>Stachelbeere</c:v>
                  </c:pt>
                  <c:pt idx="8">
                    <c:v>Zwetschge</c:v>
                  </c:pt>
                  <c:pt idx="9">
                    <c:v>Heidelbeere</c:v>
                  </c:pt>
                  <c:pt idx="10">
                    <c:v>Apfel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45B-433A-9EE2-3C61CEBE1DFF}"/>
            </c:ext>
          </c:extLst>
        </c:ser>
        <c:ser>
          <c:idx val="1"/>
          <c:order val="1"/>
          <c:tx>
            <c:strRef>
              <c:f>Visualisierung!$E$19</c:f>
              <c:strCache>
                <c:ptCount val="1"/>
                <c:pt idx="0">
                  <c:v>Wert x2 (Magnesium in mg)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DF87CBD2-D3AF-4A6F-80B8-2F5F3BEDC009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C45B-433A-9EE2-3C61CEBE1DFF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D8DF66BA-5141-490C-A5FF-8836D96DC59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45B-433A-9EE2-3C61CEBE1DFF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876F1960-53B9-47A6-A57F-C23424A189E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45B-433A-9EE2-3C61CEBE1DFF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FCD91C91-88D5-4894-9C0B-1521ACC9337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45B-433A-9EE2-3C61CEBE1DFF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D45920B5-EF7A-49CE-8C23-E6C752DDFD0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45B-433A-9EE2-3C61CEBE1DFF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E1E818E7-D2F9-4456-8234-22FB358973D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45B-433A-9EE2-3C61CEBE1DFF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F125A665-321C-4AC7-A08C-49E2BC3514E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45B-433A-9EE2-3C61CEBE1DFF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408C3E20-E659-4F4F-9035-4CC5E83A92F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45B-433A-9EE2-3C61CEBE1DFF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42378A9F-E630-42FC-9A49-63CEC92CD01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45B-433A-9EE2-3C61CEBE1DFF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DA7C3BD3-1520-4B2A-8034-5C3F9C449A5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45B-433A-9EE2-3C61CEBE1DFF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F5DD3AB7-0356-478E-AD11-FB590A7173C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45B-433A-9EE2-3C61CEBE1D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Visualisierung!$D$20:$D$30</c:f>
              <c:numCache>
                <c:formatCode>General</c:formatCode>
                <c:ptCount val="11"/>
                <c:pt idx="0">
                  <c:v>0.5</c:v>
                </c:pt>
                <c:pt idx="1">
                  <c:v>1.9</c:v>
                </c:pt>
                <c:pt idx="2">
                  <c:v>1.3</c:v>
                </c:pt>
                <c:pt idx="3">
                  <c:v>3.5</c:v>
                </c:pt>
                <c:pt idx="4">
                  <c:v>5.0999999999999996</c:v>
                </c:pt>
                <c:pt idx="5">
                  <c:v>2.5</c:v>
                </c:pt>
                <c:pt idx="6">
                  <c:v>2</c:v>
                </c:pt>
                <c:pt idx="7">
                  <c:v>5.5</c:v>
                </c:pt>
                <c:pt idx="8">
                  <c:v>1.9</c:v>
                </c:pt>
                <c:pt idx="9">
                  <c:v>2.4</c:v>
                </c:pt>
                <c:pt idx="10">
                  <c:v>0.1</c:v>
                </c:pt>
              </c:numCache>
            </c:numRef>
          </c:xVal>
          <c:yVal>
            <c:numRef>
              <c:f>Visualisierung!$E$20:$E$30</c:f>
              <c:numCache>
                <c:formatCode>General</c:formatCode>
                <c:ptCount val="11"/>
                <c:pt idx="0">
                  <c:v>81</c:v>
                </c:pt>
                <c:pt idx="1">
                  <c:v>40</c:v>
                </c:pt>
                <c:pt idx="2">
                  <c:v>11</c:v>
                </c:pt>
                <c:pt idx="3">
                  <c:v>8.8000000000000007</c:v>
                </c:pt>
                <c:pt idx="4">
                  <c:v>12</c:v>
                </c:pt>
                <c:pt idx="5">
                  <c:v>38</c:v>
                </c:pt>
                <c:pt idx="6">
                  <c:v>24</c:v>
                </c:pt>
                <c:pt idx="7">
                  <c:v>34</c:v>
                </c:pt>
                <c:pt idx="8">
                  <c:v>23</c:v>
                </c:pt>
                <c:pt idx="9">
                  <c:v>14</c:v>
                </c:pt>
                <c:pt idx="10">
                  <c:v>12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Visualisierung!$A$20:$A$30</c15:f>
                <c15:dlblRangeCache>
                  <c:ptCount val="11"/>
                  <c:pt idx="0">
                    <c:v>Mangold</c:v>
                  </c:pt>
                  <c:pt idx="1">
                    <c:v>Schnittlauch</c:v>
                  </c:pt>
                  <c:pt idx="2">
                    <c:v>Gartensalat</c:v>
                  </c:pt>
                  <c:pt idx="3">
                    <c:v>Lauch</c:v>
                  </c:pt>
                  <c:pt idx="4">
                    <c:v>Rote Peperoni</c:v>
                  </c:pt>
                  <c:pt idx="5">
                    <c:v>Grünkohl</c:v>
                  </c:pt>
                  <c:pt idx="6">
                    <c:v>Schwarzwurzel</c:v>
                  </c:pt>
                  <c:pt idx="7">
                    <c:v>Erbsen</c:v>
                  </c:pt>
                  <c:pt idx="8">
                    <c:v>Zucchini</c:v>
                  </c:pt>
                  <c:pt idx="9">
                    <c:v>Aubergine</c:v>
                  </c:pt>
                  <c:pt idx="10">
                    <c:v>Fenchel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C45B-433A-9EE2-3C61CEBE1D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axId val="1660794592"/>
        <c:axId val="1660801664"/>
      </c:scatterChart>
      <c:valAx>
        <c:axId val="1660794592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Menge</a:t>
                </a:r>
                <a:r>
                  <a:rPr lang="de-DE" baseline="0"/>
                  <a:t> an Zucker in g</a:t>
                </a:r>
                <a:endParaRPr 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0801664"/>
        <c:crosses val="autoZero"/>
        <c:crossBetween val="midCat"/>
        <c:majorUnit val="1"/>
        <c:minorUnit val="0.5"/>
      </c:valAx>
      <c:valAx>
        <c:axId val="16608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Menge an Magnesium in mg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079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Fehlerkurve</a:t>
            </a:r>
            <a:r>
              <a:rPr lang="de-DE" baseline="0"/>
              <a:t> des Tranings in Abhägigkeit von der Epochenanzahl</a:t>
            </a:r>
            <a:endParaRPr lang="de-D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Fehlerkurve!$A$2:$A$25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xVal>
          <c:yVal>
            <c:numRef>
              <c:f>Fehlerkurve!$B$2:$B$25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B-474A-9340-38F791FF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24063"/>
        <c:axId val="1092325727"/>
      </c:scatterChart>
      <c:valAx>
        <c:axId val="1092324063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2325727"/>
        <c:crosses val="autoZero"/>
        <c:crossBetween val="midCat"/>
        <c:majorUnit val="1"/>
        <c:minorUnit val="0.5"/>
      </c:valAx>
      <c:valAx>
        <c:axId val="1092325727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2324063"/>
        <c:crossesAt val="1"/>
        <c:crossBetween val="midCat"/>
        <c:minorUnit val="0.5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4</xdr:row>
      <xdr:rowOff>1</xdr:rowOff>
    </xdr:from>
    <xdr:to>
      <xdr:col>18</xdr:col>
      <xdr:colOff>0</xdr:colOff>
      <xdr:row>35</xdr:row>
      <xdr:rowOff>76201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0</xdr:row>
      <xdr:rowOff>66674</xdr:rowOff>
    </xdr:from>
    <xdr:to>
      <xdr:col>15</xdr:col>
      <xdr:colOff>400050</xdr:colOff>
      <xdr:row>30</xdr:row>
      <xdr:rowOff>142875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le1" displayName="Tabelle1" ref="A1:AI96" totalsRowShown="0" headerRowDxfId="9">
  <autoFilter ref="A1:AI96"/>
  <sortState ref="A2:AI96">
    <sortCondition ref="B1:B96"/>
  </sortState>
  <tableColumns count="35">
    <tableColumn id="1" name="ID"/>
    <tableColumn id="4" name="Name"/>
    <tableColumn id="6" name="Kategorie"/>
    <tableColumn id="9" name="Energie, Kilojoule (kJ)"/>
    <tableColumn id="15" name="Fett, total (g)"/>
    <tableColumn id="18" name="Fettsäuren, gesättigt (g)"/>
    <tableColumn id="21" name="Fettsäuren, einfach ungesättigt (g)"/>
    <tableColumn id="24" name="Fettsäuren, mehrfach ungesättigt (g)"/>
    <tableColumn id="30" name="Kohlenhydrate, verfügbar (g)"/>
    <tableColumn id="33" name="Zucker (g)" dataDxfId="8"/>
    <tableColumn id="36" name="Stärke (g)"/>
    <tableColumn id="39" name="Ballaststoffe (g)"/>
    <tableColumn id="42" name="Protein (g)"/>
    <tableColumn id="54" name="Vitamin A-Aktivität, RE (µg-RE)"/>
    <tableColumn id="57" name="Vitamin A-Aktivität, RAE (µg-RE)"/>
    <tableColumn id="63" name="Betacarotin-Aktivität (µg-BCE)"/>
    <tableColumn id="66" name="Betacarotin (µg)"/>
    <tableColumn id="69" name="Vitamin B1 (Thiamin) (mg)"/>
    <tableColumn id="72" name="Vitamin B2 (Riboflavin) (mg)"/>
    <tableColumn id="75" name="Vitamin B6 (Pyridoxin) (mg)"/>
    <tableColumn id="81" name="Niacin (mg)"/>
    <tableColumn id="84" name="Folat (µg)"/>
    <tableColumn id="87" name="Pantothensäure (mg)"/>
    <tableColumn id="90" name="Vitamin C (Ascorbinsäure) (mg)"/>
    <tableColumn id="96" name="Vitamin E (α-Tocopherol) (mg)"/>
    <tableColumn id="99" name="Kalium (K) (mg)"/>
    <tableColumn id="102" name="Natrium (Na) (mg)"/>
    <tableColumn id="105" name="Chlorid (Cl) (mg)"/>
    <tableColumn id="108" name="Calcium (Ca) (mg)"/>
    <tableColumn id="111" name="Magnesium (Mg) (mg)" dataDxfId="7"/>
    <tableColumn id="114" name="Phosphor (P) (mg)"/>
    <tableColumn id="117" name="Eisen (Fe) (mg)"/>
    <tableColumn id="120" name="Jod (I) (µg)"/>
    <tableColumn id="123" name="Zink (Zn)  (mg)"/>
    <tableColumn id="126" name="Selen (Se) (µg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elle3" displayName="Tabelle3" ref="A19:E30" totalsRowShown="0">
  <autoFilter ref="A19:E30"/>
  <tableColumns count="5">
    <tableColumn id="1" name="Lebensmittelname"/>
    <tableColumn id="2" name="Zuweisung"/>
    <tableColumn id="5" name="Zuweisungscode"/>
    <tableColumn id="3" name="Wert x1 (Zucker in g)"/>
    <tableColumn id="4" name="Wert x2 (Magnesium in mg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elle4" displayName="Tabelle4" ref="A5:E16" totalsRowShown="0">
  <autoFilter ref="A5:E16"/>
  <tableColumns count="5">
    <tableColumn id="1" name="Lebensmittelname"/>
    <tableColumn id="2" name="Zuweisung"/>
    <tableColumn id="6" name="Zuweisungscode"/>
    <tableColumn id="3" name="Wert x1 (Zucker in g)"/>
    <tableColumn id="4" name="Wert x2 (Magnesium in mg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elle5" displayName="Tabelle5" ref="A1:B25" totalsRowShown="0" headerRowDxfId="0" dataDxfId="1">
  <autoFilter ref="A1:B25"/>
  <tableColumns count="2">
    <tableColumn id="1" name="Epoche" dataDxfId="3">
      <calculatedColumnFormula>IF(ROW(A1)&lt;=Trainingsdaten!$H$3,ROW(A1),"")</calculatedColumnFormula>
    </tableColumn>
    <tableColumn id="2" name="Fehleranzahl" dataDxfId="2">
      <calculatedColumnFormula>IF(ROW(A1)&lt;=Trainingsdaten!$H$3,COUNTIFS(Training!$B:$B,$A2,Training!$N:$N,1)+COUNTIFS(Training!$B:$B,$A2,Training!$N:$N,-1),"")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2" name="Tabelle43" displayName="Tabelle43" ref="A3:F29" totalsRowShown="0">
  <autoFilter ref="A3:F29"/>
  <tableColumns count="6">
    <tableColumn id="1" name="Lebensmittelname"/>
    <tableColumn id="3" name="Wert x1 (Zucker in g)"/>
    <tableColumn id="4" name="Wert x2 (Magnesium in mg)"/>
    <tableColumn id="2" name="Summe" dataDxfId="6">
      <calculatedColumnFormula>B4*LOOKUP(2,1/(Training!I:I&lt;&gt;""),Training!I:I)+C4*LOOKUP(2,1/(Training!J:J&lt;&gt;""),Training!J:J)+LOOKUP(2,1/(Training!K:K&lt;&gt;""),Training!K:K)</calculatedColumnFormula>
    </tableColumn>
    <tableColumn id="5" name="Zuweisungscode" dataDxfId="5">
      <calculatedColumnFormula>IF(D4&gt;0,1,0)</calculatedColumnFormula>
    </tableColumn>
    <tableColumn id="6" name="Zuweisung" dataDxfId="4">
      <calculatedColumnFormula>IF(E4=1,"Obst","Gemüse")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37" sqref="I37"/>
    </sheetView>
  </sheetViews>
  <sheetFormatPr baseColWidth="10" defaultColWidth="9.140625" defaultRowHeight="15" x14ac:dyDescent="0.25"/>
  <sheetData>
    <row r="1" spans="1:1" x14ac:dyDescent="0.25">
      <c r="A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6"/>
  <sheetViews>
    <sheetView workbookViewId="0">
      <selection activeCell="B97" sqref="B97"/>
    </sheetView>
  </sheetViews>
  <sheetFormatPr baseColWidth="10" defaultRowHeight="15" x14ac:dyDescent="0.25"/>
  <cols>
    <col min="1" max="1" width="5.42578125" customWidth="1"/>
    <col min="2" max="2" width="20.28515625" customWidth="1"/>
    <col min="3" max="3" width="10.42578125" customWidth="1"/>
    <col min="4" max="4" width="9" customWidth="1"/>
    <col min="5" max="5" width="8.85546875" customWidth="1"/>
    <col min="6" max="6" width="8.28515625" customWidth="1"/>
    <col min="7" max="7" width="9.140625" customWidth="1"/>
    <col min="8" max="8" width="9" customWidth="1"/>
    <col min="9" max="9" width="8.85546875" customWidth="1"/>
    <col min="11" max="11" width="6.85546875" customWidth="1"/>
    <col min="12" max="12" width="8" customWidth="1"/>
    <col min="13" max="13" width="6.5703125" customWidth="1"/>
    <col min="14" max="14" width="7.42578125" customWidth="1"/>
    <col min="15" max="15" width="6.85546875" customWidth="1"/>
    <col min="16" max="16" width="6.5703125" customWidth="1"/>
    <col min="17" max="17" width="6.7109375" customWidth="1"/>
    <col min="18" max="18" width="7.5703125" customWidth="1"/>
    <col min="27" max="27" width="8.42578125" customWidth="1"/>
  </cols>
  <sheetData>
    <row r="1" spans="1:35" ht="177.75" x14ac:dyDescent="0.25">
      <c r="A1" s="4" t="s">
        <v>49</v>
      </c>
      <c r="B1" s="4" t="s">
        <v>4</v>
      </c>
      <c r="C1" s="4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  <c r="R1" s="5" t="s">
        <v>65</v>
      </c>
      <c r="S1" s="5" t="s">
        <v>66</v>
      </c>
      <c r="T1" s="5" t="s">
        <v>67</v>
      </c>
      <c r="U1" s="5" t="s">
        <v>68</v>
      </c>
      <c r="V1" s="5" t="s">
        <v>69</v>
      </c>
      <c r="W1" s="5" t="s">
        <v>70</v>
      </c>
      <c r="X1" s="5" t="s">
        <v>71</v>
      </c>
      <c r="Y1" s="5" t="s">
        <v>72</v>
      </c>
      <c r="Z1" s="5" t="s">
        <v>73</v>
      </c>
      <c r="AA1" s="5" t="s">
        <v>74</v>
      </c>
      <c r="AB1" s="5" t="s">
        <v>75</v>
      </c>
      <c r="AC1" s="5" t="s">
        <v>76</v>
      </c>
      <c r="AD1" s="5" t="s">
        <v>77</v>
      </c>
      <c r="AE1" s="5" t="s">
        <v>78</v>
      </c>
      <c r="AF1" s="5" t="s">
        <v>79</v>
      </c>
      <c r="AG1" s="5" t="s">
        <v>80</v>
      </c>
      <c r="AH1" s="5" t="s">
        <v>81</v>
      </c>
      <c r="AI1" s="5" t="s">
        <v>82</v>
      </c>
    </row>
    <row r="2" spans="1:35" x14ac:dyDescent="0.25">
      <c r="A2" s="6">
        <v>1</v>
      </c>
      <c r="B2" s="6" t="s">
        <v>5</v>
      </c>
      <c r="C2" t="s">
        <v>83</v>
      </c>
      <c r="D2">
        <v>221</v>
      </c>
      <c r="E2">
        <v>0.1</v>
      </c>
      <c r="F2">
        <v>0</v>
      </c>
      <c r="G2">
        <v>0</v>
      </c>
      <c r="H2">
        <v>0</v>
      </c>
      <c r="I2">
        <v>11.7</v>
      </c>
      <c r="J2" s="6">
        <v>10.5</v>
      </c>
      <c r="K2">
        <v>0</v>
      </c>
      <c r="L2">
        <v>1.2</v>
      </c>
      <c r="M2">
        <v>0.5</v>
      </c>
      <c r="N2">
        <v>8</v>
      </c>
      <c r="O2">
        <v>4</v>
      </c>
      <c r="P2">
        <v>49</v>
      </c>
      <c r="Q2">
        <v>49</v>
      </c>
      <c r="R2">
        <v>7.0000000000000007E-2</v>
      </c>
      <c r="S2">
        <v>0.02</v>
      </c>
      <c r="T2">
        <v>7.0000000000000007E-2</v>
      </c>
      <c r="U2">
        <v>0.2</v>
      </c>
      <c r="V2">
        <v>9.4</v>
      </c>
      <c r="W2">
        <v>0.13</v>
      </c>
      <c r="X2">
        <v>56.5</v>
      </c>
      <c r="Y2">
        <v>0.03</v>
      </c>
      <c r="Z2">
        <v>120</v>
      </c>
      <c r="AA2">
        <v>1</v>
      </c>
      <c r="AB2">
        <v>19</v>
      </c>
      <c r="AC2">
        <v>14</v>
      </c>
      <c r="AD2" s="6">
        <v>11</v>
      </c>
      <c r="AE2">
        <v>6</v>
      </c>
      <c r="AF2">
        <v>0.2</v>
      </c>
      <c r="AG2">
        <v>1.4</v>
      </c>
      <c r="AH2">
        <v>0.1</v>
      </c>
      <c r="AI2">
        <v>0.1</v>
      </c>
    </row>
    <row r="3" spans="1:35" x14ac:dyDescent="0.25">
      <c r="A3" s="6">
        <v>2</v>
      </c>
      <c r="B3" s="6" t="s">
        <v>27</v>
      </c>
      <c r="C3" t="s">
        <v>83</v>
      </c>
      <c r="D3">
        <v>222</v>
      </c>
      <c r="E3">
        <v>0.3</v>
      </c>
      <c r="F3">
        <v>0.1</v>
      </c>
      <c r="G3">
        <v>0</v>
      </c>
      <c r="H3">
        <v>0.2</v>
      </c>
      <c r="I3">
        <v>11.6</v>
      </c>
      <c r="J3" s="6">
        <v>11.5</v>
      </c>
      <c r="K3">
        <v>0.1</v>
      </c>
      <c r="L3">
        <v>1.4</v>
      </c>
      <c r="M3">
        <v>0.3</v>
      </c>
      <c r="N3">
        <v>4</v>
      </c>
      <c r="O3">
        <v>2</v>
      </c>
      <c r="P3">
        <v>25</v>
      </c>
      <c r="Q3">
        <v>23</v>
      </c>
      <c r="R3">
        <v>0.01</v>
      </c>
      <c r="S3">
        <v>0.01</v>
      </c>
      <c r="T3">
        <v>0.04</v>
      </c>
      <c r="U3">
        <v>0.08</v>
      </c>
      <c r="V3">
        <v>6</v>
      </c>
      <c r="W3">
        <v>0.08</v>
      </c>
      <c r="X3">
        <v>7.2</v>
      </c>
      <c r="Y3">
        <v>0.09</v>
      </c>
      <c r="Z3">
        <v>120</v>
      </c>
      <c r="AA3">
        <v>1.5</v>
      </c>
      <c r="AB3">
        <v>61</v>
      </c>
      <c r="AC3">
        <v>5.3</v>
      </c>
      <c r="AD3" s="6">
        <v>6.5</v>
      </c>
      <c r="AE3">
        <v>14</v>
      </c>
      <c r="AF3">
        <v>0.1</v>
      </c>
      <c r="AG3">
        <v>0.8</v>
      </c>
      <c r="AH3">
        <v>0.1</v>
      </c>
      <c r="AI3">
        <v>0.5</v>
      </c>
    </row>
    <row r="4" spans="1:35" x14ac:dyDescent="0.25">
      <c r="A4">
        <v>3</v>
      </c>
      <c r="B4" t="s">
        <v>89</v>
      </c>
      <c r="C4" t="s">
        <v>83</v>
      </c>
      <c r="D4">
        <v>185</v>
      </c>
      <c r="E4">
        <v>0.1</v>
      </c>
      <c r="F4">
        <v>0</v>
      </c>
      <c r="G4">
        <v>0.1</v>
      </c>
      <c r="H4">
        <v>0</v>
      </c>
      <c r="I4">
        <v>9</v>
      </c>
      <c r="J4" s="6">
        <v>6.7</v>
      </c>
      <c r="K4">
        <v>0</v>
      </c>
      <c r="L4">
        <v>1.7</v>
      </c>
      <c r="M4">
        <v>0.8</v>
      </c>
      <c r="N4">
        <v>384</v>
      </c>
      <c r="O4">
        <v>192</v>
      </c>
      <c r="P4">
        <v>2305</v>
      </c>
      <c r="Q4">
        <v>2243</v>
      </c>
      <c r="R4">
        <v>0.02</v>
      </c>
      <c r="S4">
        <v>0.02</v>
      </c>
      <c r="T4">
        <v>0.06</v>
      </c>
      <c r="U4">
        <v>0.38</v>
      </c>
      <c r="V4">
        <v>5.6</v>
      </c>
      <c r="W4">
        <v>0.18</v>
      </c>
      <c r="X4">
        <v>3.6</v>
      </c>
      <c r="Y4">
        <v>0.5</v>
      </c>
      <c r="Z4">
        <v>260</v>
      </c>
      <c r="AA4">
        <v>0</v>
      </c>
      <c r="AB4">
        <v>1</v>
      </c>
      <c r="AC4">
        <v>15</v>
      </c>
      <c r="AD4" s="6">
        <v>8.4</v>
      </c>
      <c r="AE4">
        <v>22</v>
      </c>
      <c r="AF4">
        <v>0.2</v>
      </c>
      <c r="AG4">
        <v>0.5</v>
      </c>
      <c r="AH4">
        <v>0.1</v>
      </c>
      <c r="AI4">
        <v>0.1</v>
      </c>
    </row>
    <row r="5" spans="1:35" x14ac:dyDescent="0.25">
      <c r="A5">
        <v>4</v>
      </c>
      <c r="B5" t="s">
        <v>22</v>
      </c>
      <c r="C5" t="s">
        <v>84</v>
      </c>
      <c r="D5">
        <v>86</v>
      </c>
      <c r="E5">
        <v>0.1</v>
      </c>
      <c r="F5">
        <v>0</v>
      </c>
      <c r="G5">
        <v>0</v>
      </c>
      <c r="H5">
        <v>0.1</v>
      </c>
      <c r="I5">
        <v>2.4</v>
      </c>
      <c r="J5" s="6">
        <v>2.4</v>
      </c>
      <c r="K5">
        <v>0</v>
      </c>
      <c r="L5">
        <v>2.7</v>
      </c>
      <c r="M5">
        <v>1.1000000000000001</v>
      </c>
      <c r="N5">
        <v>8</v>
      </c>
      <c r="O5">
        <v>4</v>
      </c>
      <c r="P5">
        <v>47</v>
      </c>
      <c r="Q5">
        <v>47</v>
      </c>
      <c r="R5">
        <v>0.04</v>
      </c>
      <c r="S5">
        <v>0.03</v>
      </c>
      <c r="T5">
        <v>0.08</v>
      </c>
      <c r="U5">
        <v>0.72</v>
      </c>
      <c r="V5">
        <v>24.5</v>
      </c>
      <c r="W5">
        <v>0.25</v>
      </c>
      <c r="X5">
        <v>1.9</v>
      </c>
      <c r="Y5">
        <v>0.17</v>
      </c>
      <c r="Z5">
        <v>240</v>
      </c>
      <c r="AA5">
        <v>2.5</v>
      </c>
      <c r="AB5">
        <v>55</v>
      </c>
      <c r="AC5">
        <v>12</v>
      </c>
      <c r="AD5" s="6">
        <v>14</v>
      </c>
      <c r="AE5">
        <v>21</v>
      </c>
      <c r="AF5">
        <v>0.3</v>
      </c>
      <c r="AG5">
        <v>0.1</v>
      </c>
      <c r="AH5">
        <v>0.1</v>
      </c>
      <c r="AI5">
        <v>3.9</v>
      </c>
    </row>
    <row r="6" spans="1:35" x14ac:dyDescent="0.25">
      <c r="A6">
        <v>5</v>
      </c>
      <c r="B6" t="s">
        <v>45</v>
      </c>
      <c r="C6" t="s">
        <v>83</v>
      </c>
      <c r="D6">
        <v>378</v>
      </c>
      <c r="E6">
        <v>0.1</v>
      </c>
      <c r="F6">
        <v>0</v>
      </c>
      <c r="G6">
        <v>0</v>
      </c>
      <c r="H6">
        <v>0</v>
      </c>
      <c r="I6">
        <v>19.7</v>
      </c>
      <c r="J6" s="6">
        <v>15.6</v>
      </c>
      <c r="K6">
        <v>3.8</v>
      </c>
      <c r="L6">
        <v>2.7</v>
      </c>
      <c r="M6">
        <v>1.1000000000000001</v>
      </c>
      <c r="N6">
        <v>14</v>
      </c>
      <c r="O6">
        <v>7</v>
      </c>
      <c r="P6">
        <v>84</v>
      </c>
      <c r="Q6">
        <v>54</v>
      </c>
      <c r="R6">
        <v>0.05</v>
      </c>
      <c r="S6">
        <v>0.03</v>
      </c>
      <c r="T6">
        <v>0.25</v>
      </c>
      <c r="U6">
        <v>0.6</v>
      </c>
      <c r="V6">
        <v>25.6</v>
      </c>
      <c r="W6">
        <v>0.23</v>
      </c>
      <c r="X6">
        <v>11.9</v>
      </c>
      <c r="Y6">
        <v>0</v>
      </c>
      <c r="Z6">
        <v>320</v>
      </c>
      <c r="AA6">
        <v>0</v>
      </c>
      <c r="AB6">
        <v>80</v>
      </c>
      <c r="AC6">
        <v>5.0999999999999996</v>
      </c>
      <c r="AD6" s="6">
        <v>28</v>
      </c>
      <c r="AE6">
        <v>29</v>
      </c>
      <c r="AF6">
        <v>0.2</v>
      </c>
      <c r="AG6">
        <v>3</v>
      </c>
      <c r="AH6">
        <v>0.1</v>
      </c>
      <c r="AI6">
        <v>0.5</v>
      </c>
    </row>
    <row r="7" spans="1:35" x14ac:dyDescent="0.25">
      <c r="A7">
        <v>6</v>
      </c>
      <c r="B7" t="s">
        <v>90</v>
      </c>
      <c r="C7" t="s">
        <v>84</v>
      </c>
      <c r="D7">
        <v>194</v>
      </c>
      <c r="E7">
        <v>0.8</v>
      </c>
      <c r="F7">
        <v>0.1</v>
      </c>
      <c r="G7">
        <v>0</v>
      </c>
      <c r="H7">
        <v>0.4</v>
      </c>
      <c r="I7">
        <v>5.0999999999999996</v>
      </c>
      <c r="J7" s="6">
        <v>5</v>
      </c>
      <c r="K7">
        <v>0.1</v>
      </c>
      <c r="L7">
        <v>3.1</v>
      </c>
      <c r="M7">
        <v>3.1</v>
      </c>
      <c r="N7">
        <v>811</v>
      </c>
      <c r="O7">
        <v>405</v>
      </c>
      <c r="P7">
        <v>4865</v>
      </c>
      <c r="Q7">
        <v>4820</v>
      </c>
      <c r="R7">
        <v>0.08</v>
      </c>
      <c r="S7">
        <v>0.31</v>
      </c>
      <c r="T7">
        <v>0.18</v>
      </c>
      <c r="U7">
        <v>1.1000000000000001</v>
      </c>
      <c r="V7">
        <v>50</v>
      </c>
      <c r="W7">
        <v>0.2</v>
      </c>
      <c r="X7">
        <v>26</v>
      </c>
      <c r="Y7">
        <v>1</v>
      </c>
      <c r="Z7">
        <v>300</v>
      </c>
      <c r="AA7">
        <v>9</v>
      </c>
      <c r="AB7">
        <v>35</v>
      </c>
      <c r="AC7">
        <v>250</v>
      </c>
      <c r="AD7" s="6">
        <v>11</v>
      </c>
      <c r="AE7">
        <v>37</v>
      </c>
      <c r="AF7">
        <v>5.5</v>
      </c>
      <c r="AG7">
        <v>0.9</v>
      </c>
      <c r="AH7">
        <v>0.7</v>
      </c>
      <c r="AI7">
        <v>0</v>
      </c>
    </row>
    <row r="8" spans="1:35" x14ac:dyDescent="0.25">
      <c r="A8">
        <v>7</v>
      </c>
      <c r="B8" t="s">
        <v>91</v>
      </c>
      <c r="C8" t="s">
        <v>83</v>
      </c>
      <c r="D8">
        <v>227</v>
      </c>
      <c r="E8">
        <v>0.3</v>
      </c>
      <c r="F8">
        <v>0.1</v>
      </c>
      <c r="G8">
        <v>0.1</v>
      </c>
      <c r="H8">
        <v>0.1</v>
      </c>
      <c r="I8">
        <v>10.9</v>
      </c>
      <c r="J8" s="6">
        <v>9</v>
      </c>
      <c r="K8">
        <v>0</v>
      </c>
      <c r="L8">
        <v>2.9</v>
      </c>
      <c r="M8">
        <v>0.5</v>
      </c>
      <c r="N8">
        <v>2</v>
      </c>
      <c r="O8">
        <v>1</v>
      </c>
      <c r="P8">
        <v>14</v>
      </c>
      <c r="Q8">
        <v>14</v>
      </c>
      <c r="R8">
        <v>0.01</v>
      </c>
      <c r="S8">
        <v>0.01</v>
      </c>
      <c r="T8">
        <v>0.03</v>
      </c>
      <c r="U8">
        <v>0.19</v>
      </c>
      <c r="V8">
        <v>11.5</v>
      </c>
      <c r="W8">
        <v>0.09</v>
      </c>
      <c r="X8">
        <v>4.5</v>
      </c>
      <c r="Y8">
        <v>0.12</v>
      </c>
      <c r="Z8">
        <v>130</v>
      </c>
      <c r="AA8">
        <v>1.8</v>
      </c>
      <c r="AB8">
        <v>61</v>
      </c>
      <c r="AC8">
        <v>6.5</v>
      </c>
      <c r="AD8" s="6">
        <v>8.1999999999999993</v>
      </c>
      <c r="AE8">
        <v>15</v>
      </c>
      <c r="AF8">
        <v>0.1</v>
      </c>
      <c r="AG8">
        <v>0.4</v>
      </c>
      <c r="AH8">
        <v>0.1</v>
      </c>
      <c r="AI8">
        <v>0.5</v>
      </c>
    </row>
    <row r="9" spans="1:35" x14ac:dyDescent="0.25">
      <c r="A9">
        <v>8</v>
      </c>
      <c r="B9" t="s">
        <v>92</v>
      </c>
      <c r="C9" t="s">
        <v>84</v>
      </c>
      <c r="D9">
        <v>109</v>
      </c>
      <c r="E9">
        <v>0.7</v>
      </c>
      <c r="F9">
        <v>0.2</v>
      </c>
      <c r="G9">
        <v>0.1</v>
      </c>
      <c r="H9">
        <v>0.3</v>
      </c>
      <c r="I9">
        <v>2.1</v>
      </c>
      <c r="J9" s="6">
        <v>1.7</v>
      </c>
      <c r="K9">
        <v>0.2</v>
      </c>
      <c r="L9">
        <v>2</v>
      </c>
      <c r="M9">
        <v>1.8</v>
      </c>
      <c r="N9">
        <v>1</v>
      </c>
      <c r="O9">
        <v>1</v>
      </c>
      <c r="P9">
        <v>6</v>
      </c>
      <c r="Q9">
        <v>6</v>
      </c>
      <c r="R9">
        <v>0.04</v>
      </c>
      <c r="S9">
        <v>0.09</v>
      </c>
      <c r="T9">
        <v>0.15</v>
      </c>
      <c r="U9">
        <v>0.26</v>
      </c>
      <c r="V9">
        <v>56</v>
      </c>
      <c r="W9">
        <v>0.75</v>
      </c>
      <c r="X9">
        <v>60.2</v>
      </c>
      <c r="Y9">
        <v>0.09</v>
      </c>
      <c r="Z9">
        <v>270</v>
      </c>
      <c r="AA9">
        <v>6</v>
      </c>
      <c r="AB9">
        <v>22</v>
      </c>
      <c r="AC9">
        <v>23</v>
      </c>
      <c r="AD9" s="6">
        <v>9.8000000000000007</v>
      </c>
      <c r="AE9">
        <v>40</v>
      </c>
      <c r="AF9">
        <v>0.3</v>
      </c>
      <c r="AG9">
        <v>0.7</v>
      </c>
      <c r="AH9">
        <v>0.3</v>
      </c>
      <c r="AI9">
        <v>1</v>
      </c>
    </row>
    <row r="10" spans="1:35" x14ac:dyDescent="0.25">
      <c r="A10">
        <v>9</v>
      </c>
      <c r="B10" t="s">
        <v>93</v>
      </c>
      <c r="C10" t="s">
        <v>84</v>
      </c>
      <c r="D10">
        <v>134</v>
      </c>
      <c r="E10">
        <v>0.2</v>
      </c>
      <c r="F10">
        <v>0.1</v>
      </c>
      <c r="G10">
        <v>0</v>
      </c>
      <c r="H10">
        <v>0.1</v>
      </c>
      <c r="I10">
        <v>4.0999999999999996</v>
      </c>
      <c r="J10" s="6">
        <v>3.3</v>
      </c>
      <c r="K10">
        <v>0.8</v>
      </c>
      <c r="L10">
        <v>3</v>
      </c>
      <c r="M10">
        <v>1.9</v>
      </c>
      <c r="N10">
        <v>57</v>
      </c>
      <c r="O10">
        <v>29</v>
      </c>
      <c r="P10">
        <v>343</v>
      </c>
      <c r="Q10">
        <v>343</v>
      </c>
      <c r="R10">
        <v>0.12</v>
      </c>
      <c r="S10">
        <v>0.09</v>
      </c>
      <c r="T10">
        <v>0.09</v>
      </c>
      <c r="U10">
        <v>0.8</v>
      </c>
      <c r="V10">
        <v>53.3</v>
      </c>
      <c r="W10">
        <v>0.13</v>
      </c>
      <c r="X10">
        <v>10.8</v>
      </c>
      <c r="Y10">
        <v>0.36</v>
      </c>
      <c r="Z10">
        <v>260</v>
      </c>
      <c r="AA10">
        <v>3.9</v>
      </c>
      <c r="AB10">
        <v>13</v>
      </c>
      <c r="AC10">
        <v>52</v>
      </c>
      <c r="AD10" s="6">
        <v>25</v>
      </c>
      <c r="AE10">
        <v>38</v>
      </c>
      <c r="AF10">
        <v>1</v>
      </c>
      <c r="AG10">
        <v>2.5</v>
      </c>
      <c r="AH10">
        <v>0.4</v>
      </c>
      <c r="AI10">
        <v>1</v>
      </c>
    </row>
    <row r="11" spans="1:35" x14ac:dyDescent="0.25">
      <c r="A11">
        <v>10</v>
      </c>
      <c r="B11" t="s">
        <v>46</v>
      </c>
      <c r="C11" t="s">
        <v>84</v>
      </c>
      <c r="D11">
        <v>163</v>
      </c>
      <c r="E11">
        <v>0.6</v>
      </c>
      <c r="F11">
        <v>0.2</v>
      </c>
      <c r="G11">
        <v>0.1</v>
      </c>
      <c r="H11">
        <v>0.3</v>
      </c>
      <c r="I11">
        <v>3.2</v>
      </c>
      <c r="J11" s="6">
        <v>1.9</v>
      </c>
      <c r="K11">
        <v>0.6</v>
      </c>
      <c r="L11">
        <v>3.2</v>
      </c>
      <c r="M11">
        <v>3.6</v>
      </c>
      <c r="N11">
        <v>92</v>
      </c>
      <c r="O11">
        <v>46</v>
      </c>
      <c r="P11">
        <v>554</v>
      </c>
      <c r="Q11">
        <v>554</v>
      </c>
      <c r="R11">
        <v>0.1</v>
      </c>
      <c r="S11">
        <v>0.12</v>
      </c>
      <c r="T11">
        <v>0.21</v>
      </c>
      <c r="U11">
        <v>0.8</v>
      </c>
      <c r="V11">
        <v>60.3</v>
      </c>
      <c r="W11">
        <v>0.77</v>
      </c>
      <c r="X11">
        <v>102.9</v>
      </c>
      <c r="Y11">
        <v>1.45</v>
      </c>
      <c r="Z11">
        <v>390</v>
      </c>
      <c r="AA11">
        <v>12</v>
      </c>
      <c r="AB11">
        <v>78</v>
      </c>
      <c r="AC11">
        <v>46</v>
      </c>
      <c r="AD11" s="6">
        <v>21</v>
      </c>
      <c r="AE11">
        <v>80</v>
      </c>
      <c r="AF11">
        <v>0.9</v>
      </c>
      <c r="AG11">
        <v>7.6</v>
      </c>
      <c r="AH11">
        <v>0.5</v>
      </c>
      <c r="AI11">
        <v>0.8</v>
      </c>
    </row>
    <row r="12" spans="1:35" x14ac:dyDescent="0.25">
      <c r="A12">
        <v>11</v>
      </c>
      <c r="B12" t="s">
        <v>94</v>
      </c>
      <c r="C12" t="s">
        <v>83</v>
      </c>
      <c r="D12">
        <v>198</v>
      </c>
      <c r="E12">
        <v>0.7</v>
      </c>
      <c r="F12">
        <v>0.1</v>
      </c>
      <c r="G12">
        <v>0.2</v>
      </c>
      <c r="H12">
        <v>0.4</v>
      </c>
      <c r="I12">
        <v>6.5</v>
      </c>
      <c r="J12" s="6">
        <v>6.1</v>
      </c>
      <c r="K12">
        <v>0</v>
      </c>
      <c r="L12">
        <v>5.2</v>
      </c>
      <c r="M12">
        <v>1.1000000000000001</v>
      </c>
      <c r="N12">
        <v>19</v>
      </c>
      <c r="O12">
        <v>9</v>
      </c>
      <c r="P12">
        <v>113</v>
      </c>
      <c r="Q12">
        <v>98</v>
      </c>
      <c r="R12">
        <v>0.01</v>
      </c>
      <c r="S12">
        <v>0.03</v>
      </c>
      <c r="T12">
        <v>0.02</v>
      </c>
      <c r="U12">
        <v>0.47</v>
      </c>
      <c r="V12">
        <v>16.100000000000001</v>
      </c>
      <c r="W12">
        <v>0.24</v>
      </c>
      <c r="X12">
        <v>10.7</v>
      </c>
      <c r="Y12">
        <v>0.6</v>
      </c>
      <c r="Z12">
        <v>200</v>
      </c>
      <c r="AA12">
        <v>1</v>
      </c>
      <c r="AB12">
        <v>20</v>
      </c>
      <c r="AC12">
        <v>31</v>
      </c>
      <c r="AD12" s="6">
        <v>20</v>
      </c>
      <c r="AE12">
        <v>25</v>
      </c>
      <c r="AF12">
        <v>0.4</v>
      </c>
      <c r="AG12">
        <v>0.4</v>
      </c>
      <c r="AH12">
        <v>0.2</v>
      </c>
      <c r="AI12">
        <v>0</v>
      </c>
    </row>
    <row r="13" spans="1:35" x14ac:dyDescent="0.25">
      <c r="A13">
        <v>12</v>
      </c>
      <c r="B13" t="s">
        <v>95</v>
      </c>
      <c r="C13" t="s">
        <v>84</v>
      </c>
      <c r="D13">
        <v>71</v>
      </c>
      <c r="E13">
        <v>0.2</v>
      </c>
      <c r="F13">
        <v>0.1</v>
      </c>
      <c r="G13">
        <v>0</v>
      </c>
      <c r="H13">
        <v>0.1</v>
      </c>
      <c r="I13">
        <v>0.3</v>
      </c>
      <c r="J13" s="6">
        <v>0.3</v>
      </c>
      <c r="K13">
        <v>0</v>
      </c>
      <c r="L13">
        <v>2.6</v>
      </c>
      <c r="M13">
        <v>2.2000000000000002</v>
      </c>
      <c r="N13">
        <v>421</v>
      </c>
      <c r="O13">
        <v>211</v>
      </c>
      <c r="P13">
        <v>2527</v>
      </c>
      <c r="Q13">
        <v>2527</v>
      </c>
      <c r="R13">
        <v>0.09</v>
      </c>
      <c r="S13">
        <v>0.12</v>
      </c>
      <c r="T13">
        <v>0.18</v>
      </c>
      <c r="U13">
        <v>0.4</v>
      </c>
      <c r="V13">
        <v>173</v>
      </c>
      <c r="W13">
        <v>0.18</v>
      </c>
      <c r="X13">
        <v>36.299999999999997</v>
      </c>
      <c r="Y13">
        <v>1.2</v>
      </c>
      <c r="Z13">
        <v>300</v>
      </c>
      <c r="AA13">
        <v>42</v>
      </c>
      <c r="AB13">
        <v>110</v>
      </c>
      <c r="AC13">
        <v>160</v>
      </c>
      <c r="AD13" s="6">
        <v>20</v>
      </c>
      <c r="AE13">
        <v>53</v>
      </c>
      <c r="AF13">
        <v>1.3</v>
      </c>
      <c r="AG13">
        <v>2</v>
      </c>
      <c r="AH13">
        <v>0.2</v>
      </c>
      <c r="AI13">
        <v>0</v>
      </c>
    </row>
    <row r="14" spans="1:35" x14ac:dyDescent="0.25">
      <c r="A14">
        <v>13</v>
      </c>
      <c r="B14" t="s">
        <v>96</v>
      </c>
      <c r="C14" t="s">
        <v>84</v>
      </c>
      <c r="D14">
        <v>107</v>
      </c>
      <c r="E14">
        <v>0.3</v>
      </c>
      <c r="F14">
        <v>0</v>
      </c>
      <c r="G14">
        <v>0</v>
      </c>
      <c r="H14">
        <v>0.1</v>
      </c>
      <c r="I14">
        <v>1.1000000000000001</v>
      </c>
      <c r="J14" s="6">
        <v>0.3</v>
      </c>
      <c r="K14">
        <v>0.2</v>
      </c>
      <c r="L14">
        <v>1.9</v>
      </c>
      <c r="M14">
        <v>3.7</v>
      </c>
      <c r="N14">
        <v>1</v>
      </c>
      <c r="O14">
        <v>0</v>
      </c>
      <c r="P14">
        <v>3</v>
      </c>
      <c r="Q14">
        <v>3</v>
      </c>
      <c r="R14">
        <v>0.1</v>
      </c>
      <c r="S14">
        <v>0.31</v>
      </c>
      <c r="T14">
        <v>0.1</v>
      </c>
      <c r="U14">
        <v>3.62</v>
      </c>
      <c r="V14">
        <v>21.7</v>
      </c>
      <c r="W14">
        <v>1.99</v>
      </c>
      <c r="X14">
        <v>2.1</v>
      </c>
      <c r="Y14">
        <v>0</v>
      </c>
      <c r="Z14">
        <v>370</v>
      </c>
      <c r="AA14">
        <v>5.7</v>
      </c>
      <c r="AB14">
        <v>67</v>
      </c>
      <c r="AC14">
        <v>7</v>
      </c>
      <c r="AD14" s="6">
        <v>11</v>
      </c>
      <c r="AE14">
        <v>110</v>
      </c>
      <c r="AF14">
        <v>1</v>
      </c>
      <c r="AG14">
        <v>18</v>
      </c>
      <c r="AH14">
        <v>0.5</v>
      </c>
      <c r="AI14">
        <v>0</v>
      </c>
    </row>
    <row r="15" spans="1:35" x14ac:dyDescent="0.25">
      <c r="A15">
        <v>14</v>
      </c>
      <c r="B15" t="s">
        <v>97</v>
      </c>
      <c r="C15" t="s">
        <v>84</v>
      </c>
      <c r="D15">
        <v>84</v>
      </c>
      <c r="E15">
        <v>0.2</v>
      </c>
      <c r="F15">
        <v>0</v>
      </c>
      <c r="G15">
        <v>0</v>
      </c>
      <c r="H15">
        <v>0.1</v>
      </c>
      <c r="I15">
        <v>2.8</v>
      </c>
      <c r="J15" s="6">
        <v>2.4</v>
      </c>
      <c r="K15">
        <v>0.2</v>
      </c>
      <c r="L15">
        <v>1.2</v>
      </c>
      <c r="M15">
        <v>1.1000000000000001</v>
      </c>
      <c r="N15">
        <v>232</v>
      </c>
      <c r="O15">
        <v>116</v>
      </c>
      <c r="P15">
        <v>1389</v>
      </c>
      <c r="Q15">
        <v>1389</v>
      </c>
      <c r="R15">
        <v>0.05</v>
      </c>
      <c r="S15">
        <v>0.04</v>
      </c>
      <c r="T15">
        <v>0.03</v>
      </c>
      <c r="U15">
        <v>0.21</v>
      </c>
      <c r="V15">
        <v>25.6</v>
      </c>
      <c r="W15">
        <v>0.14000000000000001</v>
      </c>
      <c r="X15">
        <v>1.6</v>
      </c>
      <c r="Y15">
        <v>0</v>
      </c>
      <c r="Z15">
        <v>190</v>
      </c>
      <c r="AA15">
        <v>1.9</v>
      </c>
      <c r="AB15">
        <v>34</v>
      </c>
      <c r="AC15">
        <v>18</v>
      </c>
      <c r="AD15" s="6">
        <v>8.9</v>
      </c>
      <c r="AE15">
        <v>25</v>
      </c>
      <c r="AF15">
        <v>0.2</v>
      </c>
      <c r="AG15">
        <v>0.4</v>
      </c>
      <c r="AH15">
        <v>0.1</v>
      </c>
      <c r="AI15">
        <v>0.1</v>
      </c>
    </row>
    <row r="16" spans="1:35" x14ac:dyDescent="0.25">
      <c r="A16">
        <v>15</v>
      </c>
      <c r="B16" t="s">
        <v>98</v>
      </c>
      <c r="C16" t="s">
        <v>84</v>
      </c>
      <c r="D16">
        <v>60</v>
      </c>
      <c r="E16">
        <v>0.2</v>
      </c>
      <c r="F16">
        <v>0</v>
      </c>
      <c r="G16">
        <v>0</v>
      </c>
      <c r="H16">
        <v>0.1</v>
      </c>
      <c r="I16">
        <v>1.2</v>
      </c>
      <c r="J16" s="6">
        <v>1.2</v>
      </c>
      <c r="K16">
        <v>0</v>
      </c>
      <c r="L16">
        <v>1.1000000000000001</v>
      </c>
      <c r="M16">
        <v>1.4</v>
      </c>
      <c r="N16">
        <v>7</v>
      </c>
      <c r="O16">
        <v>3</v>
      </c>
      <c r="P16">
        <v>42</v>
      </c>
      <c r="Q16">
        <v>42</v>
      </c>
      <c r="R16">
        <v>0.04</v>
      </c>
      <c r="S16">
        <v>0.04</v>
      </c>
      <c r="T16">
        <v>0.16</v>
      </c>
      <c r="U16">
        <v>0.4</v>
      </c>
      <c r="V16">
        <v>51.2</v>
      </c>
      <c r="W16">
        <v>0.18</v>
      </c>
      <c r="X16">
        <v>22.1</v>
      </c>
      <c r="Y16">
        <v>0.24</v>
      </c>
      <c r="Z16">
        <v>240</v>
      </c>
      <c r="AA16">
        <v>6.5</v>
      </c>
      <c r="AB16">
        <v>18</v>
      </c>
      <c r="AC16">
        <v>32</v>
      </c>
      <c r="AD16" s="6">
        <v>9.6999999999999993</v>
      </c>
      <c r="AE16">
        <v>40</v>
      </c>
      <c r="AF16">
        <v>0.3</v>
      </c>
      <c r="AG16">
        <v>0.3</v>
      </c>
      <c r="AH16">
        <v>0.2</v>
      </c>
      <c r="AI16">
        <v>0.3</v>
      </c>
    </row>
    <row r="17" spans="1:35" x14ac:dyDescent="0.25">
      <c r="A17">
        <v>16</v>
      </c>
      <c r="B17" t="s">
        <v>99</v>
      </c>
      <c r="C17" t="s">
        <v>84</v>
      </c>
      <c r="D17">
        <v>79</v>
      </c>
      <c r="E17">
        <v>0.1</v>
      </c>
      <c r="F17">
        <v>0</v>
      </c>
      <c r="G17">
        <v>0</v>
      </c>
      <c r="H17">
        <v>0.1</v>
      </c>
      <c r="I17">
        <v>1.6</v>
      </c>
      <c r="J17" s="6">
        <v>1.6</v>
      </c>
      <c r="K17">
        <v>0</v>
      </c>
      <c r="L17">
        <v>3</v>
      </c>
      <c r="M17">
        <v>1.4</v>
      </c>
      <c r="N17">
        <v>133</v>
      </c>
      <c r="O17">
        <v>67</v>
      </c>
      <c r="P17">
        <v>800</v>
      </c>
      <c r="Q17">
        <v>800</v>
      </c>
      <c r="R17">
        <v>0.06</v>
      </c>
      <c r="S17">
        <v>0.05</v>
      </c>
      <c r="T17">
        <v>0.05</v>
      </c>
      <c r="U17">
        <v>0.3</v>
      </c>
      <c r="V17">
        <v>14.1</v>
      </c>
      <c r="W17">
        <v>0.19</v>
      </c>
      <c r="X17">
        <v>7.7</v>
      </c>
      <c r="Y17">
        <v>0.56999999999999995</v>
      </c>
      <c r="Z17">
        <v>350</v>
      </c>
      <c r="AA17">
        <v>7.5</v>
      </c>
      <c r="AB17">
        <v>33</v>
      </c>
      <c r="AC17">
        <v>31</v>
      </c>
      <c r="AD17" s="6">
        <v>10</v>
      </c>
      <c r="AE17">
        <v>41</v>
      </c>
      <c r="AF17">
        <v>0.4</v>
      </c>
      <c r="AG17">
        <v>0</v>
      </c>
      <c r="AH17">
        <v>0.2</v>
      </c>
      <c r="AI17">
        <v>0.1</v>
      </c>
    </row>
    <row r="18" spans="1:35" x14ac:dyDescent="0.25">
      <c r="A18">
        <v>17</v>
      </c>
      <c r="B18" t="s">
        <v>100</v>
      </c>
      <c r="C18" t="s">
        <v>84</v>
      </c>
      <c r="D18">
        <v>98</v>
      </c>
      <c r="E18">
        <v>0.5</v>
      </c>
      <c r="F18">
        <v>0.1</v>
      </c>
      <c r="G18">
        <v>0</v>
      </c>
      <c r="H18">
        <v>0.3</v>
      </c>
      <c r="I18">
        <v>0.2</v>
      </c>
      <c r="J18" s="6">
        <v>0.2</v>
      </c>
      <c r="K18">
        <v>0</v>
      </c>
      <c r="L18">
        <v>4.7</v>
      </c>
      <c r="M18">
        <v>2.2999999999999998</v>
      </c>
      <c r="N18">
        <v>86</v>
      </c>
      <c r="O18">
        <v>43</v>
      </c>
      <c r="P18">
        <v>515</v>
      </c>
      <c r="Q18">
        <v>515</v>
      </c>
      <c r="R18">
        <v>0.02</v>
      </c>
      <c r="S18">
        <v>0.15</v>
      </c>
      <c r="T18">
        <v>0.04</v>
      </c>
      <c r="U18">
        <v>5.2</v>
      </c>
      <c r="V18">
        <v>12.9</v>
      </c>
      <c r="W18">
        <v>1.57</v>
      </c>
      <c r="X18">
        <v>5.7</v>
      </c>
      <c r="Y18">
        <v>0.1</v>
      </c>
      <c r="Z18">
        <v>510</v>
      </c>
      <c r="AA18">
        <v>3</v>
      </c>
      <c r="AB18">
        <v>30</v>
      </c>
      <c r="AC18">
        <v>8</v>
      </c>
      <c r="AD18" s="6">
        <v>14</v>
      </c>
      <c r="AE18">
        <v>44</v>
      </c>
      <c r="AF18">
        <v>6.5</v>
      </c>
      <c r="AG18">
        <v>3</v>
      </c>
      <c r="AH18">
        <v>0.6</v>
      </c>
      <c r="AI18">
        <v>0</v>
      </c>
    </row>
    <row r="19" spans="1:35" x14ac:dyDescent="0.25">
      <c r="A19">
        <v>18</v>
      </c>
      <c r="B19" t="s">
        <v>101</v>
      </c>
      <c r="C19" t="s">
        <v>84</v>
      </c>
      <c r="D19">
        <v>65</v>
      </c>
      <c r="E19">
        <v>0.2</v>
      </c>
      <c r="F19">
        <v>0</v>
      </c>
      <c r="G19">
        <v>0</v>
      </c>
      <c r="H19">
        <v>0.1</v>
      </c>
      <c r="I19">
        <v>1.6</v>
      </c>
      <c r="J19" s="6">
        <v>1.6</v>
      </c>
      <c r="K19">
        <v>0</v>
      </c>
      <c r="L19">
        <v>1.8</v>
      </c>
      <c r="M19">
        <v>1</v>
      </c>
      <c r="N19">
        <v>12</v>
      </c>
      <c r="O19">
        <v>6</v>
      </c>
      <c r="P19">
        <v>74</v>
      </c>
      <c r="Q19">
        <v>74</v>
      </c>
      <c r="R19">
        <v>0.04</v>
      </c>
      <c r="S19">
        <v>0.03</v>
      </c>
      <c r="T19">
        <v>0.04</v>
      </c>
      <c r="U19">
        <v>0.2</v>
      </c>
      <c r="V19">
        <v>34.700000000000003</v>
      </c>
      <c r="W19">
        <v>0.08</v>
      </c>
      <c r="X19">
        <v>4.0999999999999996</v>
      </c>
      <c r="Y19">
        <v>0.56999999999999995</v>
      </c>
      <c r="Z19">
        <v>180</v>
      </c>
      <c r="AA19">
        <v>3.6</v>
      </c>
      <c r="AB19">
        <v>42</v>
      </c>
      <c r="AC19">
        <v>34</v>
      </c>
      <c r="AD19" s="6">
        <v>7</v>
      </c>
      <c r="AE19">
        <v>22</v>
      </c>
      <c r="AF19">
        <v>0.5</v>
      </c>
      <c r="AG19">
        <v>2</v>
      </c>
      <c r="AH19">
        <v>0.2</v>
      </c>
      <c r="AI19">
        <v>0</v>
      </c>
    </row>
    <row r="20" spans="1:35" x14ac:dyDescent="0.25">
      <c r="A20">
        <v>19</v>
      </c>
      <c r="B20" t="s">
        <v>102</v>
      </c>
      <c r="C20" t="s">
        <v>84</v>
      </c>
      <c r="D20">
        <v>68</v>
      </c>
      <c r="E20">
        <v>0.2</v>
      </c>
      <c r="F20">
        <v>0.1</v>
      </c>
      <c r="G20">
        <v>0</v>
      </c>
      <c r="H20">
        <v>0.1</v>
      </c>
      <c r="I20">
        <v>1.2</v>
      </c>
      <c r="J20" s="6">
        <v>1.2</v>
      </c>
      <c r="K20">
        <v>0</v>
      </c>
      <c r="L20">
        <v>1.2</v>
      </c>
      <c r="M20">
        <v>1.8</v>
      </c>
      <c r="N20">
        <v>65</v>
      </c>
      <c r="O20">
        <v>33</v>
      </c>
      <c r="P20">
        <v>392</v>
      </c>
      <c r="Q20">
        <v>392</v>
      </c>
      <c r="R20">
        <v>0.05</v>
      </c>
      <c r="S20">
        <v>0.12</v>
      </c>
      <c r="T20">
        <v>0.04</v>
      </c>
      <c r="U20">
        <v>0.41</v>
      </c>
      <c r="V20">
        <v>109</v>
      </c>
      <c r="W20">
        <v>0.44</v>
      </c>
      <c r="X20">
        <v>12.9</v>
      </c>
      <c r="Y20">
        <v>0</v>
      </c>
      <c r="Z20">
        <v>220</v>
      </c>
      <c r="AA20">
        <v>52</v>
      </c>
      <c r="AB20">
        <v>94</v>
      </c>
      <c r="AC20">
        <v>23</v>
      </c>
      <c r="AD20" s="6">
        <v>8.1</v>
      </c>
      <c r="AE20">
        <v>26</v>
      </c>
      <c r="AF20">
        <v>0.5</v>
      </c>
      <c r="AG20">
        <v>2.9</v>
      </c>
      <c r="AH20">
        <v>0.2</v>
      </c>
      <c r="AI20">
        <v>0.2</v>
      </c>
    </row>
    <row r="21" spans="1:35" x14ac:dyDescent="0.25">
      <c r="A21">
        <v>20</v>
      </c>
      <c r="B21" t="s">
        <v>103</v>
      </c>
      <c r="C21" t="s">
        <v>84</v>
      </c>
      <c r="D21">
        <v>380</v>
      </c>
      <c r="E21">
        <v>0.7</v>
      </c>
      <c r="F21">
        <v>0.1</v>
      </c>
      <c r="G21">
        <v>0.1</v>
      </c>
      <c r="H21">
        <v>0.4</v>
      </c>
      <c r="I21">
        <v>12</v>
      </c>
      <c r="J21" s="6">
        <v>5.5</v>
      </c>
      <c r="K21">
        <v>6.2</v>
      </c>
      <c r="L21">
        <v>6</v>
      </c>
      <c r="M21">
        <v>6</v>
      </c>
      <c r="N21">
        <v>87</v>
      </c>
      <c r="O21">
        <v>43</v>
      </c>
      <c r="P21">
        <v>520</v>
      </c>
      <c r="Q21">
        <v>520</v>
      </c>
      <c r="R21">
        <v>0.4</v>
      </c>
      <c r="S21">
        <v>0.14000000000000001</v>
      </c>
      <c r="T21">
        <v>0.16</v>
      </c>
      <c r="U21">
        <v>2.2000000000000002</v>
      </c>
      <c r="V21">
        <v>70</v>
      </c>
      <c r="W21">
        <v>0.5</v>
      </c>
      <c r="X21">
        <v>32</v>
      </c>
      <c r="Y21">
        <v>0.2</v>
      </c>
      <c r="Z21">
        <v>300</v>
      </c>
      <c r="AA21">
        <v>2</v>
      </c>
      <c r="AB21">
        <v>40</v>
      </c>
      <c r="AC21">
        <v>26</v>
      </c>
      <c r="AD21" s="6">
        <v>34</v>
      </c>
      <c r="AE21">
        <v>130</v>
      </c>
      <c r="AF21">
        <v>1.9</v>
      </c>
      <c r="AG21">
        <v>4.2</v>
      </c>
      <c r="AH21">
        <v>0.8</v>
      </c>
      <c r="AI21">
        <v>0</v>
      </c>
    </row>
    <row r="22" spans="1:35" x14ac:dyDescent="0.25">
      <c r="A22">
        <v>21</v>
      </c>
      <c r="B22" t="s">
        <v>104</v>
      </c>
      <c r="C22" t="s">
        <v>83</v>
      </c>
      <c r="D22">
        <v>162</v>
      </c>
      <c r="E22">
        <v>0.5</v>
      </c>
      <c r="F22">
        <v>0</v>
      </c>
      <c r="G22">
        <v>0</v>
      </c>
      <c r="H22">
        <v>0</v>
      </c>
      <c r="I22">
        <v>6</v>
      </c>
      <c r="J22" s="6">
        <v>5.6</v>
      </c>
      <c r="K22">
        <v>0</v>
      </c>
      <c r="L22">
        <v>3.8</v>
      </c>
      <c r="M22">
        <v>0.6</v>
      </c>
      <c r="N22">
        <v>1</v>
      </c>
      <c r="O22">
        <v>0</v>
      </c>
      <c r="P22">
        <v>3</v>
      </c>
      <c r="Q22">
        <v>3</v>
      </c>
      <c r="R22">
        <v>0.02</v>
      </c>
      <c r="S22">
        <v>0.02</v>
      </c>
      <c r="T22">
        <v>0.04</v>
      </c>
      <c r="U22">
        <v>0.37</v>
      </c>
      <c r="V22">
        <v>40.700000000000003</v>
      </c>
      <c r="W22">
        <v>0.12</v>
      </c>
      <c r="X22">
        <v>55.8</v>
      </c>
      <c r="Y22">
        <v>0.3</v>
      </c>
      <c r="Z22">
        <v>140</v>
      </c>
      <c r="AA22">
        <v>1</v>
      </c>
      <c r="AB22">
        <v>62</v>
      </c>
      <c r="AC22">
        <v>18</v>
      </c>
      <c r="AD22" s="6">
        <v>12</v>
      </c>
      <c r="AE22">
        <v>23</v>
      </c>
      <c r="AF22">
        <v>0.2</v>
      </c>
      <c r="AG22">
        <v>1</v>
      </c>
      <c r="AH22">
        <v>0.1</v>
      </c>
      <c r="AI22">
        <v>0.5</v>
      </c>
    </row>
    <row r="23" spans="1:35" x14ac:dyDescent="0.25">
      <c r="A23">
        <v>22</v>
      </c>
      <c r="B23" t="s">
        <v>105</v>
      </c>
      <c r="C23" t="s">
        <v>83</v>
      </c>
      <c r="D23">
        <v>301</v>
      </c>
      <c r="E23">
        <v>0.5</v>
      </c>
      <c r="F23">
        <v>0.1</v>
      </c>
      <c r="G23">
        <v>0.1</v>
      </c>
      <c r="H23">
        <v>0.2</v>
      </c>
      <c r="I23">
        <v>13.5</v>
      </c>
      <c r="J23" s="6">
        <v>12.2</v>
      </c>
      <c r="K23">
        <v>0</v>
      </c>
      <c r="L23">
        <v>4.0999999999999996</v>
      </c>
      <c r="M23">
        <v>1.2</v>
      </c>
      <c r="N23">
        <v>17</v>
      </c>
      <c r="O23">
        <v>9</v>
      </c>
      <c r="P23">
        <v>102</v>
      </c>
      <c r="Q23">
        <v>87</v>
      </c>
      <c r="R23">
        <v>0.04</v>
      </c>
      <c r="S23">
        <v>0.03</v>
      </c>
      <c r="T23">
        <v>0.06</v>
      </c>
      <c r="U23">
        <v>0.35</v>
      </c>
      <c r="V23">
        <v>24.5</v>
      </c>
      <c r="W23">
        <v>0.2</v>
      </c>
      <c r="X23">
        <v>3.4</v>
      </c>
      <c r="Y23">
        <v>0.08</v>
      </c>
      <c r="Z23">
        <v>230</v>
      </c>
      <c r="AA23">
        <v>5</v>
      </c>
      <c r="AB23">
        <v>18</v>
      </c>
      <c r="AC23">
        <v>57</v>
      </c>
      <c r="AD23" s="6">
        <v>22</v>
      </c>
      <c r="AE23">
        <v>21</v>
      </c>
      <c r="AF23">
        <v>0.3</v>
      </c>
      <c r="AG23">
        <v>1.5</v>
      </c>
      <c r="AH23">
        <v>0.2</v>
      </c>
      <c r="AI23">
        <v>1.6</v>
      </c>
    </row>
    <row r="24" spans="1:35" x14ac:dyDescent="0.25">
      <c r="A24">
        <v>23</v>
      </c>
      <c r="B24" t="s">
        <v>106</v>
      </c>
      <c r="C24" t="s">
        <v>84</v>
      </c>
      <c r="D24">
        <v>96</v>
      </c>
      <c r="E24">
        <v>0.4</v>
      </c>
      <c r="F24">
        <v>0.1</v>
      </c>
      <c r="G24">
        <v>0</v>
      </c>
      <c r="H24">
        <v>0.2</v>
      </c>
      <c r="I24">
        <v>2</v>
      </c>
      <c r="J24" s="6">
        <v>2</v>
      </c>
      <c r="K24">
        <v>0</v>
      </c>
      <c r="L24">
        <v>1.7</v>
      </c>
      <c r="M24">
        <v>2</v>
      </c>
      <c r="N24">
        <v>447</v>
      </c>
      <c r="O24">
        <v>223</v>
      </c>
      <c r="P24">
        <v>2681</v>
      </c>
      <c r="Q24">
        <v>2681</v>
      </c>
      <c r="R24">
        <v>0.08</v>
      </c>
      <c r="S24">
        <v>0.09</v>
      </c>
      <c r="T24">
        <v>0.12</v>
      </c>
      <c r="U24">
        <v>0.4</v>
      </c>
      <c r="V24">
        <v>71.099999999999994</v>
      </c>
      <c r="W24">
        <v>0.2</v>
      </c>
      <c r="X24">
        <v>33.4</v>
      </c>
      <c r="Y24">
        <v>0.22</v>
      </c>
      <c r="Z24">
        <v>460</v>
      </c>
      <c r="AA24">
        <v>4</v>
      </c>
      <c r="AB24">
        <v>70</v>
      </c>
      <c r="AC24">
        <v>38</v>
      </c>
      <c r="AD24" s="6">
        <v>13</v>
      </c>
      <c r="AE24">
        <v>53</v>
      </c>
      <c r="AF24">
        <v>2.1</v>
      </c>
      <c r="AG24">
        <v>35</v>
      </c>
      <c r="AH24">
        <v>0.5</v>
      </c>
      <c r="AI24">
        <v>0</v>
      </c>
    </row>
    <row r="25" spans="1:35" x14ac:dyDescent="0.25">
      <c r="A25">
        <v>24</v>
      </c>
      <c r="B25" t="s">
        <v>23</v>
      </c>
      <c r="C25" t="s">
        <v>84</v>
      </c>
      <c r="D25">
        <v>95</v>
      </c>
      <c r="E25">
        <v>0.3</v>
      </c>
      <c r="F25">
        <v>0</v>
      </c>
      <c r="G25">
        <v>0</v>
      </c>
      <c r="H25">
        <v>0</v>
      </c>
      <c r="I25">
        <v>2.2999999999999998</v>
      </c>
      <c r="J25" s="6">
        <v>0.1</v>
      </c>
      <c r="K25">
        <v>2.2000000000000002</v>
      </c>
      <c r="L25">
        <v>3.3</v>
      </c>
      <c r="M25">
        <v>1.1000000000000001</v>
      </c>
      <c r="N25">
        <v>23</v>
      </c>
      <c r="O25">
        <v>12</v>
      </c>
      <c r="P25">
        <v>140</v>
      </c>
      <c r="Q25">
        <v>140</v>
      </c>
      <c r="R25">
        <v>0.04</v>
      </c>
      <c r="S25">
        <v>0.02</v>
      </c>
      <c r="T25">
        <v>0.04</v>
      </c>
      <c r="U25">
        <v>0.7</v>
      </c>
      <c r="V25">
        <v>55</v>
      </c>
      <c r="W25">
        <v>0.15</v>
      </c>
      <c r="X25">
        <v>5.9</v>
      </c>
      <c r="Y25">
        <v>0.08</v>
      </c>
      <c r="Z25">
        <v>470</v>
      </c>
      <c r="AA25">
        <v>15</v>
      </c>
      <c r="AB25">
        <v>27</v>
      </c>
      <c r="AC25">
        <v>37</v>
      </c>
      <c r="AD25" s="6">
        <v>12</v>
      </c>
      <c r="AE25">
        <v>38</v>
      </c>
      <c r="AF25">
        <v>0.5</v>
      </c>
      <c r="AG25">
        <v>5</v>
      </c>
      <c r="AH25">
        <v>0.3</v>
      </c>
      <c r="AI25">
        <v>0</v>
      </c>
    </row>
    <row r="26" spans="1:35" x14ac:dyDescent="0.25">
      <c r="A26" s="6">
        <v>25</v>
      </c>
      <c r="B26" s="6" t="s">
        <v>16</v>
      </c>
      <c r="C26" t="s">
        <v>84</v>
      </c>
      <c r="D26">
        <v>66</v>
      </c>
      <c r="E26">
        <v>0.3</v>
      </c>
      <c r="F26">
        <v>0</v>
      </c>
      <c r="G26">
        <v>0</v>
      </c>
      <c r="H26">
        <v>0.2</v>
      </c>
      <c r="I26">
        <v>1.3</v>
      </c>
      <c r="J26" s="6">
        <v>1.3</v>
      </c>
      <c r="K26">
        <v>0</v>
      </c>
      <c r="L26">
        <v>1.5</v>
      </c>
      <c r="M26">
        <v>1.2</v>
      </c>
      <c r="N26">
        <v>195</v>
      </c>
      <c r="O26">
        <v>98</v>
      </c>
      <c r="P26">
        <v>1170</v>
      </c>
      <c r="Q26">
        <v>1153</v>
      </c>
      <c r="R26">
        <v>7.0000000000000007E-2</v>
      </c>
      <c r="S26">
        <v>7.0000000000000007E-2</v>
      </c>
      <c r="T26">
        <v>0.06</v>
      </c>
      <c r="U26">
        <v>0.4</v>
      </c>
      <c r="V26">
        <v>64.900000000000006</v>
      </c>
      <c r="W26">
        <v>0.17</v>
      </c>
      <c r="X26">
        <v>5.9</v>
      </c>
      <c r="Y26">
        <v>0.28999999999999998</v>
      </c>
      <c r="Z26">
        <v>230</v>
      </c>
      <c r="AA26">
        <v>8</v>
      </c>
      <c r="AB26">
        <v>0</v>
      </c>
      <c r="AC26">
        <v>37</v>
      </c>
      <c r="AD26" s="6">
        <v>11</v>
      </c>
      <c r="AE26">
        <v>24</v>
      </c>
      <c r="AF26">
        <v>0.3</v>
      </c>
      <c r="AG26">
        <v>3.3</v>
      </c>
      <c r="AH26">
        <v>0</v>
      </c>
      <c r="AI26">
        <v>0</v>
      </c>
    </row>
    <row r="27" spans="1:35" x14ac:dyDescent="0.25">
      <c r="A27" s="6">
        <v>26</v>
      </c>
      <c r="B27" s="6" t="s">
        <v>38</v>
      </c>
      <c r="C27" t="s">
        <v>83</v>
      </c>
      <c r="D27">
        <v>342</v>
      </c>
      <c r="E27">
        <v>1.2</v>
      </c>
      <c r="F27">
        <v>0.1</v>
      </c>
      <c r="G27">
        <v>0.1</v>
      </c>
      <c r="H27">
        <v>1</v>
      </c>
      <c r="I27">
        <v>14.3</v>
      </c>
      <c r="J27" s="6">
        <v>13.3</v>
      </c>
      <c r="K27">
        <v>0</v>
      </c>
      <c r="L27">
        <v>2.2999999999999998</v>
      </c>
      <c r="M27">
        <v>1.4</v>
      </c>
      <c r="N27">
        <v>2</v>
      </c>
      <c r="O27">
        <v>1</v>
      </c>
      <c r="P27">
        <v>12</v>
      </c>
      <c r="Q27">
        <v>12</v>
      </c>
      <c r="R27">
        <v>0.06</v>
      </c>
      <c r="S27">
        <v>0.02</v>
      </c>
      <c r="T27">
        <v>0.03</v>
      </c>
      <c r="U27">
        <v>0.24</v>
      </c>
      <c r="V27">
        <v>8.8000000000000007</v>
      </c>
      <c r="W27">
        <v>0.31</v>
      </c>
      <c r="X27">
        <v>10.8</v>
      </c>
      <c r="Y27">
        <v>0.08</v>
      </c>
      <c r="Z27">
        <v>230</v>
      </c>
      <c r="AA27">
        <v>2</v>
      </c>
      <c r="AB27">
        <v>44</v>
      </c>
      <c r="AC27">
        <v>9.5</v>
      </c>
      <c r="AD27" s="6">
        <v>12</v>
      </c>
      <c r="AE27">
        <v>27</v>
      </c>
      <c r="AF27">
        <v>0.2</v>
      </c>
      <c r="AG27">
        <v>1.5</v>
      </c>
      <c r="AH27">
        <v>0.2</v>
      </c>
      <c r="AI27">
        <v>0.5</v>
      </c>
    </row>
    <row r="28" spans="1:35" x14ac:dyDescent="0.25">
      <c r="A28">
        <v>27</v>
      </c>
      <c r="B28" t="s">
        <v>107</v>
      </c>
      <c r="C28" t="s">
        <v>83</v>
      </c>
      <c r="D28">
        <v>177</v>
      </c>
      <c r="E28">
        <v>0.5</v>
      </c>
      <c r="F28">
        <v>0</v>
      </c>
      <c r="G28">
        <v>0</v>
      </c>
      <c r="H28">
        <v>0</v>
      </c>
      <c r="I28">
        <v>8</v>
      </c>
      <c r="J28" s="6">
        <v>6.6</v>
      </c>
      <c r="K28">
        <v>0</v>
      </c>
      <c r="L28">
        <v>0.9</v>
      </c>
      <c r="M28">
        <v>0.9</v>
      </c>
      <c r="N28">
        <v>66</v>
      </c>
      <c r="O28">
        <v>33</v>
      </c>
      <c r="P28">
        <v>396</v>
      </c>
      <c r="Q28">
        <v>351</v>
      </c>
      <c r="R28">
        <v>0.06</v>
      </c>
      <c r="S28">
        <v>0.02</v>
      </c>
      <c r="T28">
        <v>0.03</v>
      </c>
      <c r="U28">
        <v>0.2</v>
      </c>
      <c r="V28">
        <v>23</v>
      </c>
      <c r="W28">
        <v>0.22</v>
      </c>
      <c r="X28">
        <v>36</v>
      </c>
      <c r="Y28">
        <v>0.27</v>
      </c>
      <c r="Z28">
        <v>130</v>
      </c>
      <c r="AA28">
        <v>1</v>
      </c>
      <c r="AB28">
        <v>12</v>
      </c>
      <c r="AC28">
        <v>23</v>
      </c>
      <c r="AD28" s="6">
        <v>8</v>
      </c>
      <c r="AE28">
        <v>18</v>
      </c>
      <c r="AF28">
        <v>0.1</v>
      </c>
      <c r="AG28">
        <v>0.3</v>
      </c>
      <c r="AH28">
        <v>0.1</v>
      </c>
      <c r="AI28">
        <v>0.2</v>
      </c>
    </row>
    <row r="29" spans="1:35" x14ac:dyDescent="0.25">
      <c r="A29">
        <v>28</v>
      </c>
      <c r="B29" t="s">
        <v>25</v>
      </c>
      <c r="C29" t="s">
        <v>84</v>
      </c>
      <c r="D29">
        <v>183</v>
      </c>
      <c r="E29">
        <v>0.9</v>
      </c>
      <c r="F29">
        <v>0.1</v>
      </c>
      <c r="G29">
        <v>0</v>
      </c>
      <c r="H29">
        <v>0.5</v>
      </c>
      <c r="I29">
        <v>2.5</v>
      </c>
      <c r="J29" s="6">
        <v>2.5</v>
      </c>
      <c r="K29">
        <v>0</v>
      </c>
      <c r="L29">
        <v>4.2</v>
      </c>
      <c r="M29">
        <v>4.3</v>
      </c>
      <c r="N29">
        <v>471</v>
      </c>
      <c r="O29">
        <v>236</v>
      </c>
      <c r="P29">
        <v>2828</v>
      </c>
      <c r="Q29">
        <v>2828</v>
      </c>
      <c r="R29">
        <v>0.1</v>
      </c>
      <c r="S29">
        <v>0.25</v>
      </c>
      <c r="T29">
        <v>0.22</v>
      </c>
      <c r="U29">
        <v>2.1</v>
      </c>
      <c r="V29">
        <v>85.4</v>
      </c>
      <c r="W29">
        <v>0.7</v>
      </c>
      <c r="X29">
        <v>74</v>
      </c>
      <c r="Y29">
        <v>1.7</v>
      </c>
      <c r="Z29">
        <v>440</v>
      </c>
      <c r="AA29">
        <v>110</v>
      </c>
      <c r="AB29">
        <v>170</v>
      </c>
      <c r="AC29">
        <v>240</v>
      </c>
      <c r="AD29" s="6">
        <v>38</v>
      </c>
      <c r="AE29">
        <v>67</v>
      </c>
      <c r="AF29">
        <v>1.4</v>
      </c>
      <c r="AG29">
        <v>4.5</v>
      </c>
      <c r="AH29">
        <v>0.7</v>
      </c>
      <c r="AI29">
        <v>1.2</v>
      </c>
    </row>
    <row r="30" spans="1:35" x14ac:dyDescent="0.25">
      <c r="A30">
        <v>29</v>
      </c>
      <c r="B30" t="s">
        <v>108</v>
      </c>
      <c r="C30" t="s">
        <v>84</v>
      </c>
      <c r="D30">
        <v>57</v>
      </c>
      <c r="E30">
        <v>0.1</v>
      </c>
      <c r="F30">
        <v>0</v>
      </c>
      <c r="G30">
        <v>0</v>
      </c>
      <c r="H30">
        <v>0</v>
      </c>
      <c r="I30">
        <v>2</v>
      </c>
      <c r="J30" s="6">
        <v>1.9</v>
      </c>
      <c r="K30">
        <v>0.1</v>
      </c>
      <c r="L30">
        <v>0.8</v>
      </c>
      <c r="M30">
        <v>0.7</v>
      </c>
      <c r="N30">
        <v>37</v>
      </c>
      <c r="O30">
        <v>19</v>
      </c>
      <c r="P30">
        <v>222</v>
      </c>
      <c r="Q30">
        <v>222</v>
      </c>
      <c r="R30">
        <v>0.02</v>
      </c>
      <c r="S30">
        <v>0.02</v>
      </c>
      <c r="T30">
        <v>0.03</v>
      </c>
      <c r="U30">
        <v>0.2</v>
      </c>
      <c r="V30">
        <v>8.9</v>
      </c>
      <c r="W30">
        <v>0.2</v>
      </c>
      <c r="X30">
        <v>9.1999999999999993</v>
      </c>
      <c r="Y30">
        <v>0.09</v>
      </c>
      <c r="Z30">
        <v>140</v>
      </c>
      <c r="AA30">
        <v>0.9</v>
      </c>
      <c r="AB30">
        <v>37</v>
      </c>
      <c r="AC30">
        <v>15</v>
      </c>
      <c r="AD30" s="6">
        <v>10</v>
      </c>
      <c r="AE30">
        <v>18</v>
      </c>
      <c r="AF30">
        <v>0.2</v>
      </c>
      <c r="AG30">
        <v>2.9</v>
      </c>
      <c r="AH30">
        <v>0.1</v>
      </c>
      <c r="AI30">
        <v>0</v>
      </c>
    </row>
    <row r="31" spans="1:35" x14ac:dyDescent="0.25">
      <c r="A31" s="6">
        <v>30</v>
      </c>
      <c r="B31" s="6" t="s">
        <v>26</v>
      </c>
      <c r="C31" t="s">
        <v>83</v>
      </c>
      <c r="D31">
        <v>220</v>
      </c>
      <c r="E31">
        <v>0.3</v>
      </c>
      <c r="F31">
        <v>0</v>
      </c>
      <c r="G31">
        <v>0.2</v>
      </c>
      <c r="H31">
        <v>0</v>
      </c>
      <c r="I31">
        <v>10.6</v>
      </c>
      <c r="J31" s="6">
        <v>10</v>
      </c>
      <c r="K31">
        <v>0</v>
      </c>
      <c r="L31">
        <v>1.5</v>
      </c>
      <c r="M31">
        <v>0.9</v>
      </c>
      <c r="N31">
        <v>4</v>
      </c>
      <c r="O31">
        <v>2</v>
      </c>
      <c r="P31">
        <v>23</v>
      </c>
      <c r="Q31">
        <v>18</v>
      </c>
      <c r="R31">
        <v>0.03</v>
      </c>
      <c r="S31">
        <v>0.03</v>
      </c>
      <c r="T31">
        <v>0.05</v>
      </c>
      <c r="U31">
        <v>0.22</v>
      </c>
      <c r="V31">
        <v>9</v>
      </c>
      <c r="W31">
        <v>0.12</v>
      </c>
      <c r="X31">
        <v>7.5</v>
      </c>
      <c r="Y31">
        <v>0.88</v>
      </c>
      <c r="Z31">
        <v>66</v>
      </c>
      <c r="AA31">
        <v>2</v>
      </c>
      <c r="AB31">
        <v>53</v>
      </c>
      <c r="AC31">
        <v>10</v>
      </c>
      <c r="AD31" s="6">
        <v>5</v>
      </c>
      <c r="AE31">
        <v>16</v>
      </c>
      <c r="AF31">
        <v>0.6</v>
      </c>
      <c r="AG31">
        <v>2</v>
      </c>
      <c r="AH31">
        <v>0.1</v>
      </c>
      <c r="AI31">
        <v>0.5</v>
      </c>
    </row>
    <row r="32" spans="1:35" x14ac:dyDescent="0.25">
      <c r="A32">
        <v>31</v>
      </c>
      <c r="B32" t="s">
        <v>109</v>
      </c>
      <c r="C32" t="s">
        <v>83</v>
      </c>
      <c r="D32">
        <v>183</v>
      </c>
      <c r="E32">
        <v>0.8</v>
      </c>
      <c r="F32">
        <v>0.1</v>
      </c>
      <c r="G32">
        <v>0.2</v>
      </c>
      <c r="H32">
        <v>0.4</v>
      </c>
      <c r="I32">
        <v>5.8</v>
      </c>
      <c r="J32" s="6">
        <v>5.4</v>
      </c>
      <c r="K32">
        <v>0</v>
      </c>
      <c r="L32">
        <v>4.3</v>
      </c>
      <c r="M32">
        <v>1.2</v>
      </c>
      <c r="N32">
        <v>5</v>
      </c>
      <c r="O32">
        <v>2</v>
      </c>
      <c r="P32">
        <v>28</v>
      </c>
      <c r="Q32">
        <v>4</v>
      </c>
      <c r="R32">
        <v>0.02</v>
      </c>
      <c r="S32">
        <v>0.04</v>
      </c>
      <c r="T32">
        <v>0.05</v>
      </c>
      <c r="U32">
        <v>0.43</v>
      </c>
      <c r="V32">
        <v>25.5</v>
      </c>
      <c r="W32">
        <v>0.41</v>
      </c>
      <c r="X32">
        <v>20.7</v>
      </c>
      <c r="Y32">
        <v>0.65</v>
      </c>
      <c r="Z32">
        <v>170</v>
      </c>
      <c r="AA32">
        <v>0</v>
      </c>
      <c r="AB32">
        <v>11</v>
      </c>
      <c r="AC32">
        <v>16</v>
      </c>
      <c r="AD32" s="6">
        <v>20</v>
      </c>
      <c r="AE32">
        <v>29</v>
      </c>
      <c r="AF32">
        <v>0.4</v>
      </c>
      <c r="AG32">
        <v>3</v>
      </c>
      <c r="AH32">
        <v>0.2</v>
      </c>
      <c r="AI32">
        <v>0.2</v>
      </c>
    </row>
    <row r="33" spans="1:35" x14ac:dyDescent="0.25">
      <c r="A33">
        <v>32</v>
      </c>
      <c r="B33" t="s">
        <v>110</v>
      </c>
      <c r="C33" t="s">
        <v>83</v>
      </c>
      <c r="D33">
        <v>264</v>
      </c>
      <c r="E33">
        <v>1.7</v>
      </c>
      <c r="F33">
        <v>0.1</v>
      </c>
      <c r="G33">
        <v>0.1</v>
      </c>
      <c r="H33">
        <v>1.1000000000000001</v>
      </c>
      <c r="I33">
        <v>7.4</v>
      </c>
      <c r="J33" s="6">
        <v>7.4</v>
      </c>
      <c r="K33">
        <v>0</v>
      </c>
      <c r="L33">
        <v>4</v>
      </c>
      <c r="M33">
        <v>2.5</v>
      </c>
      <c r="N33">
        <v>54</v>
      </c>
      <c r="O33">
        <v>27</v>
      </c>
      <c r="P33">
        <v>325</v>
      </c>
      <c r="Q33">
        <v>325</v>
      </c>
      <c r="R33">
        <v>7.0000000000000007E-2</v>
      </c>
      <c r="S33">
        <v>7.0000000000000007E-2</v>
      </c>
      <c r="T33">
        <v>0.25</v>
      </c>
      <c r="U33">
        <v>1.6</v>
      </c>
      <c r="V33">
        <v>17</v>
      </c>
      <c r="W33">
        <v>0.16</v>
      </c>
      <c r="X33">
        <v>18</v>
      </c>
      <c r="Y33">
        <v>1</v>
      </c>
      <c r="Z33">
        <v>300</v>
      </c>
      <c r="AA33">
        <v>1</v>
      </c>
      <c r="AB33">
        <v>7</v>
      </c>
      <c r="AC33">
        <v>37</v>
      </c>
      <c r="AD33" s="6">
        <v>30</v>
      </c>
      <c r="AE33">
        <v>57</v>
      </c>
      <c r="AF33">
        <v>1.6</v>
      </c>
      <c r="AG33">
        <v>3</v>
      </c>
      <c r="AH33">
        <v>0.2</v>
      </c>
      <c r="AI33">
        <v>0</v>
      </c>
    </row>
    <row r="34" spans="1:35" x14ac:dyDescent="0.25">
      <c r="A34">
        <v>33</v>
      </c>
      <c r="B34" t="s">
        <v>111</v>
      </c>
      <c r="C34" t="s">
        <v>83</v>
      </c>
      <c r="D34">
        <v>260</v>
      </c>
      <c r="E34">
        <v>0.1</v>
      </c>
      <c r="F34">
        <v>0</v>
      </c>
      <c r="G34">
        <v>0</v>
      </c>
      <c r="H34">
        <v>0</v>
      </c>
      <c r="I34">
        <v>14.8</v>
      </c>
      <c r="J34" s="6">
        <v>10.6</v>
      </c>
      <c r="K34">
        <v>0</v>
      </c>
      <c r="L34">
        <v>1.3</v>
      </c>
      <c r="M34">
        <v>1.1000000000000001</v>
      </c>
      <c r="N34">
        <v>462</v>
      </c>
      <c r="O34">
        <v>231</v>
      </c>
      <c r="P34">
        <v>2774</v>
      </c>
      <c r="Q34">
        <v>2774</v>
      </c>
      <c r="R34">
        <v>0.05</v>
      </c>
      <c r="S34">
        <v>0.02</v>
      </c>
      <c r="T34">
        <v>0.08</v>
      </c>
      <c r="U34">
        <v>0.82</v>
      </c>
      <c r="V34">
        <v>37</v>
      </c>
      <c r="W34">
        <v>0.12</v>
      </c>
      <c r="X34">
        <v>41.9</v>
      </c>
      <c r="Y34">
        <v>0.08</v>
      </c>
      <c r="Z34">
        <v>380</v>
      </c>
      <c r="AA34">
        <v>24</v>
      </c>
      <c r="AB34">
        <v>18</v>
      </c>
      <c r="AC34">
        <v>11</v>
      </c>
      <c r="AD34" s="6">
        <v>16</v>
      </c>
      <c r="AE34">
        <v>17</v>
      </c>
      <c r="AF34">
        <v>0.2</v>
      </c>
      <c r="AG34">
        <v>2</v>
      </c>
      <c r="AH34">
        <v>0.2</v>
      </c>
      <c r="AI34">
        <v>0.5</v>
      </c>
    </row>
    <row r="35" spans="1:35" x14ac:dyDescent="0.25">
      <c r="A35">
        <v>34</v>
      </c>
      <c r="B35" t="s">
        <v>112</v>
      </c>
      <c r="C35" t="s">
        <v>83</v>
      </c>
      <c r="D35">
        <v>209</v>
      </c>
      <c r="E35">
        <v>0.7</v>
      </c>
      <c r="F35">
        <v>0.2</v>
      </c>
      <c r="G35">
        <v>0.1</v>
      </c>
      <c r="H35">
        <v>0.4</v>
      </c>
      <c r="I35">
        <v>7.1</v>
      </c>
      <c r="J35" s="6">
        <v>6.6</v>
      </c>
      <c r="K35">
        <v>0</v>
      </c>
      <c r="L35">
        <v>4.5999999999999996</v>
      </c>
      <c r="M35">
        <v>1.6</v>
      </c>
      <c r="N35">
        <v>2</v>
      </c>
      <c r="O35">
        <v>1</v>
      </c>
      <c r="P35">
        <v>10</v>
      </c>
      <c r="Q35">
        <v>9</v>
      </c>
      <c r="R35">
        <v>0.03</v>
      </c>
      <c r="S35">
        <v>0.04</v>
      </c>
      <c r="T35">
        <v>0.04</v>
      </c>
      <c r="U35">
        <v>0.28999999999999998</v>
      </c>
      <c r="V35">
        <v>10.5</v>
      </c>
      <c r="W35">
        <v>0.65</v>
      </c>
      <c r="X35">
        <v>31</v>
      </c>
      <c r="Y35">
        <v>0.8</v>
      </c>
      <c r="Z35">
        <v>230</v>
      </c>
      <c r="AA35">
        <v>5</v>
      </c>
      <c r="AB35">
        <v>14</v>
      </c>
      <c r="AC35">
        <v>38</v>
      </c>
      <c r="AD35" s="6">
        <v>12</v>
      </c>
      <c r="AE35">
        <v>38</v>
      </c>
      <c r="AF35">
        <v>0.4</v>
      </c>
      <c r="AG35">
        <v>1</v>
      </c>
      <c r="AH35">
        <v>0.2</v>
      </c>
      <c r="AI35">
        <v>1.3</v>
      </c>
    </row>
    <row r="36" spans="1:35" x14ac:dyDescent="0.25">
      <c r="A36">
        <v>35</v>
      </c>
      <c r="B36" t="s">
        <v>113</v>
      </c>
      <c r="C36" t="s">
        <v>83</v>
      </c>
      <c r="D36">
        <v>300</v>
      </c>
      <c r="E36">
        <v>0.9</v>
      </c>
      <c r="F36">
        <v>0.1</v>
      </c>
      <c r="G36">
        <v>0.1</v>
      </c>
      <c r="H36">
        <v>0.5</v>
      </c>
      <c r="I36">
        <v>9.6999999999999993</v>
      </c>
      <c r="J36" s="6">
        <v>9.6999999999999993</v>
      </c>
      <c r="K36">
        <v>0</v>
      </c>
      <c r="L36">
        <v>5.8</v>
      </c>
      <c r="M36">
        <v>1.3</v>
      </c>
      <c r="N36">
        <v>10</v>
      </c>
      <c r="O36">
        <v>5</v>
      </c>
      <c r="P36">
        <v>57</v>
      </c>
      <c r="Q36">
        <v>48</v>
      </c>
      <c r="R36">
        <v>0.04</v>
      </c>
      <c r="S36">
        <v>0.08</v>
      </c>
      <c r="T36">
        <v>7.0000000000000007E-2</v>
      </c>
      <c r="U36">
        <v>0.31</v>
      </c>
      <c r="V36">
        <v>11.5</v>
      </c>
      <c r="W36">
        <v>0.34</v>
      </c>
      <c r="X36">
        <v>209.3</v>
      </c>
      <c r="Y36">
        <v>1.5</v>
      </c>
      <c r="Z36">
        <v>330</v>
      </c>
      <c r="AA36">
        <v>2.5</v>
      </c>
      <c r="AB36">
        <v>15</v>
      </c>
      <c r="AC36">
        <v>57</v>
      </c>
      <c r="AD36" s="6">
        <v>23</v>
      </c>
      <c r="AE36">
        <v>54</v>
      </c>
      <c r="AF36">
        <v>1.2</v>
      </c>
      <c r="AG36">
        <v>1</v>
      </c>
      <c r="AH36">
        <v>0.3</v>
      </c>
      <c r="AI36">
        <v>1.1000000000000001</v>
      </c>
    </row>
    <row r="37" spans="1:35" x14ac:dyDescent="0.25">
      <c r="A37">
        <v>36</v>
      </c>
      <c r="B37" t="s">
        <v>114</v>
      </c>
      <c r="C37" t="s">
        <v>83</v>
      </c>
      <c r="D37">
        <v>297</v>
      </c>
      <c r="E37">
        <v>0.3</v>
      </c>
      <c r="F37">
        <v>0</v>
      </c>
      <c r="G37">
        <v>0.1</v>
      </c>
      <c r="H37">
        <v>0.1</v>
      </c>
      <c r="I37">
        <v>14.3</v>
      </c>
      <c r="J37" s="6">
        <v>13.9</v>
      </c>
      <c r="K37">
        <v>0</v>
      </c>
      <c r="L37">
        <v>3.4</v>
      </c>
      <c r="M37">
        <v>0.9</v>
      </c>
      <c r="N37">
        <v>57</v>
      </c>
      <c r="O37">
        <v>28</v>
      </c>
      <c r="P37">
        <v>341</v>
      </c>
      <c r="Q37">
        <v>81</v>
      </c>
      <c r="R37">
        <v>0.04</v>
      </c>
      <c r="S37">
        <v>0.08</v>
      </c>
      <c r="T37">
        <v>0.03</v>
      </c>
      <c r="U37">
        <v>0.2</v>
      </c>
      <c r="V37">
        <v>19</v>
      </c>
      <c r="W37">
        <v>0.14000000000000001</v>
      </c>
      <c r="X37">
        <v>15.1</v>
      </c>
      <c r="Y37">
        <v>0.12</v>
      </c>
      <c r="Z37">
        <v>160</v>
      </c>
      <c r="AA37">
        <v>5</v>
      </c>
      <c r="AB37">
        <v>33</v>
      </c>
      <c r="AC37">
        <v>6.9</v>
      </c>
      <c r="AD37" s="6">
        <v>7.2</v>
      </c>
      <c r="AE37">
        <v>13</v>
      </c>
      <c r="AF37">
        <v>0.1</v>
      </c>
      <c r="AG37">
        <v>1.8</v>
      </c>
      <c r="AH37">
        <v>0.4</v>
      </c>
      <c r="AI37">
        <v>0</v>
      </c>
    </row>
    <row r="38" spans="1:35" x14ac:dyDescent="0.25">
      <c r="A38">
        <v>37</v>
      </c>
      <c r="B38" t="s">
        <v>115</v>
      </c>
      <c r="C38" t="s">
        <v>84</v>
      </c>
      <c r="D38">
        <v>176</v>
      </c>
      <c r="E38">
        <v>0.4</v>
      </c>
      <c r="F38">
        <v>0.1</v>
      </c>
      <c r="G38">
        <v>0.1</v>
      </c>
      <c r="H38">
        <v>0.1</v>
      </c>
      <c r="I38">
        <v>7.6</v>
      </c>
      <c r="J38" s="6">
        <v>6</v>
      </c>
      <c r="K38">
        <v>0.4</v>
      </c>
      <c r="L38">
        <v>2.7</v>
      </c>
      <c r="M38">
        <v>0.6</v>
      </c>
      <c r="N38">
        <v>1384</v>
      </c>
      <c r="O38">
        <v>692</v>
      </c>
      <c r="P38">
        <v>8301</v>
      </c>
      <c r="Q38">
        <v>6999</v>
      </c>
      <c r="R38">
        <v>0.03</v>
      </c>
      <c r="S38">
        <v>0.02</v>
      </c>
      <c r="T38">
        <v>7.0000000000000007E-2</v>
      </c>
      <c r="U38">
        <v>0.3</v>
      </c>
      <c r="V38">
        <v>59.4</v>
      </c>
      <c r="W38">
        <v>0.34</v>
      </c>
      <c r="X38">
        <v>3.1</v>
      </c>
      <c r="Y38">
        <v>0.27</v>
      </c>
      <c r="Z38">
        <v>220</v>
      </c>
      <c r="AA38">
        <v>28</v>
      </c>
      <c r="AB38">
        <v>37</v>
      </c>
      <c r="AC38">
        <v>29</v>
      </c>
      <c r="AD38" s="6">
        <v>7.1</v>
      </c>
      <c r="AE38">
        <v>23</v>
      </c>
      <c r="AF38">
        <v>0.1</v>
      </c>
      <c r="AG38">
        <v>1.8</v>
      </c>
      <c r="AH38">
        <v>0.2</v>
      </c>
      <c r="AI38">
        <v>0.2</v>
      </c>
    </row>
    <row r="39" spans="1:35" x14ac:dyDescent="0.25">
      <c r="A39">
        <v>38</v>
      </c>
      <c r="B39" t="s">
        <v>85</v>
      </c>
      <c r="C39" t="s">
        <v>83</v>
      </c>
      <c r="D39">
        <v>262</v>
      </c>
      <c r="E39">
        <v>0.4</v>
      </c>
      <c r="F39">
        <v>0.1</v>
      </c>
      <c r="G39">
        <v>0.1</v>
      </c>
      <c r="H39">
        <v>0.1</v>
      </c>
      <c r="I39">
        <v>13</v>
      </c>
      <c r="J39" s="6">
        <v>10</v>
      </c>
      <c r="K39">
        <v>0</v>
      </c>
      <c r="L39">
        <v>1.6</v>
      </c>
      <c r="M39">
        <v>0.8</v>
      </c>
      <c r="N39">
        <v>11</v>
      </c>
      <c r="O39">
        <v>5</v>
      </c>
      <c r="P39">
        <v>63</v>
      </c>
      <c r="Q39">
        <v>56</v>
      </c>
      <c r="R39">
        <v>0.02</v>
      </c>
      <c r="S39">
        <v>0.02</v>
      </c>
      <c r="T39">
        <v>0.04</v>
      </c>
      <c r="U39">
        <v>0.18</v>
      </c>
      <c r="V39">
        <v>5.9</v>
      </c>
      <c r="W39">
        <v>0.14000000000000001</v>
      </c>
      <c r="X39">
        <v>4.3</v>
      </c>
      <c r="Y39">
        <v>0.14000000000000001</v>
      </c>
      <c r="Z39">
        <v>190</v>
      </c>
      <c r="AA39">
        <v>0</v>
      </c>
      <c r="AB39">
        <v>5</v>
      </c>
      <c r="AC39">
        <v>9.9</v>
      </c>
      <c r="AD39" s="6">
        <v>8.8000000000000007</v>
      </c>
      <c r="AE39">
        <v>19</v>
      </c>
      <c r="AF39">
        <v>0.2</v>
      </c>
      <c r="AG39">
        <v>1.2</v>
      </c>
      <c r="AH39">
        <v>0.1</v>
      </c>
      <c r="AI39">
        <v>0.2</v>
      </c>
    </row>
    <row r="40" spans="1:35" x14ac:dyDescent="0.25">
      <c r="A40" s="6">
        <v>39</v>
      </c>
      <c r="B40" s="6" t="s">
        <v>12</v>
      </c>
      <c r="C40" t="s">
        <v>83</v>
      </c>
      <c r="D40">
        <v>243</v>
      </c>
      <c r="E40">
        <v>0.6</v>
      </c>
      <c r="F40">
        <v>0.1</v>
      </c>
      <c r="G40">
        <v>0.2</v>
      </c>
      <c r="H40">
        <v>0.3</v>
      </c>
      <c r="I40">
        <v>11</v>
      </c>
      <c r="J40" s="6">
        <v>8.9</v>
      </c>
      <c r="K40">
        <v>0</v>
      </c>
      <c r="L40">
        <v>2.4</v>
      </c>
      <c r="M40">
        <v>0.9</v>
      </c>
      <c r="N40">
        <v>8</v>
      </c>
      <c r="O40">
        <v>4</v>
      </c>
      <c r="P40">
        <v>47</v>
      </c>
      <c r="Q40">
        <v>47</v>
      </c>
      <c r="R40">
        <v>0.01</v>
      </c>
      <c r="S40">
        <v>0.01</v>
      </c>
      <c r="T40">
        <v>0.05</v>
      </c>
      <c r="U40">
        <v>0.27</v>
      </c>
      <c r="V40">
        <v>33</v>
      </c>
      <c r="W40">
        <v>0.27</v>
      </c>
      <c r="X40">
        <v>75.3</v>
      </c>
      <c r="Y40">
        <v>2.17</v>
      </c>
      <c r="Z40">
        <v>290</v>
      </c>
      <c r="AA40">
        <v>1</v>
      </c>
      <c r="AB40">
        <v>33</v>
      </c>
      <c r="AC40">
        <v>33</v>
      </c>
      <c r="AD40" s="6">
        <v>13</v>
      </c>
      <c r="AE40">
        <v>33</v>
      </c>
      <c r="AF40">
        <v>0.2</v>
      </c>
      <c r="AG40">
        <v>1.7</v>
      </c>
      <c r="AH40">
        <v>0.1</v>
      </c>
      <c r="AI40">
        <v>0.2</v>
      </c>
    </row>
    <row r="41" spans="1:35" x14ac:dyDescent="0.25">
      <c r="A41">
        <v>40</v>
      </c>
      <c r="B41" t="s">
        <v>116</v>
      </c>
      <c r="C41" t="s">
        <v>84</v>
      </c>
      <c r="D41">
        <v>578</v>
      </c>
      <c r="E41">
        <v>0.5</v>
      </c>
      <c r="F41">
        <v>0.1</v>
      </c>
      <c r="G41">
        <v>0</v>
      </c>
      <c r="H41">
        <v>0.3</v>
      </c>
      <c r="I41">
        <v>24.5</v>
      </c>
      <c r="J41" s="6">
        <v>2.4</v>
      </c>
      <c r="K41">
        <v>22.1</v>
      </c>
      <c r="L41">
        <v>3</v>
      </c>
      <c r="M41">
        <v>7</v>
      </c>
      <c r="N41">
        <v>0</v>
      </c>
      <c r="O41">
        <v>0</v>
      </c>
      <c r="P41">
        <v>0</v>
      </c>
      <c r="Q41">
        <v>0</v>
      </c>
      <c r="R41">
        <v>0.2</v>
      </c>
      <c r="S41">
        <v>0.1</v>
      </c>
      <c r="T41">
        <v>1.24</v>
      </c>
      <c r="U41">
        <v>0.7</v>
      </c>
      <c r="V41">
        <v>3</v>
      </c>
      <c r="W41">
        <v>0.6</v>
      </c>
      <c r="X41">
        <v>30</v>
      </c>
      <c r="Y41">
        <v>0</v>
      </c>
      <c r="Z41">
        <v>450</v>
      </c>
      <c r="AA41">
        <v>10</v>
      </c>
      <c r="AB41">
        <v>30</v>
      </c>
      <c r="AC41">
        <v>38</v>
      </c>
      <c r="AD41" s="6">
        <v>21</v>
      </c>
      <c r="AE41">
        <v>140</v>
      </c>
      <c r="AF41">
        <v>1.4</v>
      </c>
      <c r="AG41">
        <v>2.7</v>
      </c>
      <c r="AH41">
        <v>0.6</v>
      </c>
      <c r="AI41">
        <v>0</v>
      </c>
    </row>
    <row r="42" spans="1:35" x14ac:dyDescent="0.25">
      <c r="A42">
        <v>41</v>
      </c>
      <c r="B42" t="s">
        <v>117</v>
      </c>
      <c r="C42" t="s">
        <v>84</v>
      </c>
      <c r="D42">
        <v>133</v>
      </c>
      <c r="E42">
        <v>0.3</v>
      </c>
      <c r="F42">
        <v>0.1</v>
      </c>
      <c r="G42">
        <v>0</v>
      </c>
      <c r="H42">
        <v>0.2</v>
      </c>
      <c r="I42">
        <v>4</v>
      </c>
      <c r="J42" s="6">
        <v>1.6</v>
      </c>
      <c r="K42">
        <v>0.4</v>
      </c>
      <c r="L42">
        <v>3.8</v>
      </c>
      <c r="M42">
        <v>1.4</v>
      </c>
      <c r="N42">
        <v>6</v>
      </c>
      <c r="O42">
        <v>3</v>
      </c>
      <c r="P42">
        <v>35</v>
      </c>
      <c r="Q42">
        <v>35</v>
      </c>
      <c r="R42">
        <v>0.06</v>
      </c>
      <c r="S42">
        <v>0.04</v>
      </c>
      <c r="T42">
        <v>0.19</v>
      </c>
      <c r="U42">
        <v>0.3</v>
      </c>
      <c r="V42">
        <v>39</v>
      </c>
      <c r="W42">
        <v>0.56000000000000005</v>
      </c>
      <c r="X42">
        <v>7.1</v>
      </c>
      <c r="Y42">
        <v>0.12</v>
      </c>
      <c r="Z42">
        <v>460</v>
      </c>
      <c r="AA42">
        <v>56</v>
      </c>
      <c r="AB42">
        <v>130</v>
      </c>
      <c r="AC42">
        <v>40</v>
      </c>
      <c r="AD42" s="6">
        <v>13</v>
      </c>
      <c r="AE42">
        <v>56</v>
      </c>
      <c r="AF42">
        <v>0.4</v>
      </c>
      <c r="AG42">
        <v>2.4</v>
      </c>
      <c r="AH42">
        <v>0.4</v>
      </c>
      <c r="AI42">
        <v>0.9</v>
      </c>
    </row>
    <row r="43" spans="1:35" x14ac:dyDescent="0.25">
      <c r="A43">
        <v>42</v>
      </c>
      <c r="B43" t="s">
        <v>118</v>
      </c>
      <c r="C43" t="s">
        <v>84</v>
      </c>
      <c r="D43">
        <v>113</v>
      </c>
      <c r="E43">
        <v>0.2</v>
      </c>
      <c r="F43">
        <v>0</v>
      </c>
      <c r="G43">
        <v>0</v>
      </c>
      <c r="H43">
        <v>0.1</v>
      </c>
      <c r="I43">
        <v>3.7</v>
      </c>
      <c r="J43" s="6">
        <v>3.6</v>
      </c>
      <c r="K43">
        <v>0.1</v>
      </c>
      <c r="L43">
        <v>1.4</v>
      </c>
      <c r="M43">
        <v>1.9</v>
      </c>
      <c r="N43">
        <v>3</v>
      </c>
      <c r="O43">
        <v>1</v>
      </c>
      <c r="P43">
        <v>17</v>
      </c>
      <c r="Q43">
        <v>16</v>
      </c>
      <c r="R43">
        <v>0.03</v>
      </c>
      <c r="S43">
        <v>0.05</v>
      </c>
      <c r="T43">
        <v>0.08</v>
      </c>
      <c r="U43">
        <v>1.8</v>
      </c>
      <c r="V43">
        <v>39.5</v>
      </c>
      <c r="W43">
        <v>0.12</v>
      </c>
      <c r="X43">
        <v>57.6</v>
      </c>
      <c r="Y43">
        <v>0.48</v>
      </c>
      <c r="Z43">
        <v>310</v>
      </c>
      <c r="AA43">
        <v>16</v>
      </c>
      <c r="AB43">
        <v>34</v>
      </c>
      <c r="AC43">
        <v>23</v>
      </c>
      <c r="AD43" s="6">
        <v>16</v>
      </c>
      <c r="AE43">
        <v>43</v>
      </c>
      <c r="AF43">
        <v>0.2</v>
      </c>
      <c r="AG43">
        <v>0.7</v>
      </c>
      <c r="AH43">
        <v>0.2</v>
      </c>
      <c r="AI43">
        <v>0.9</v>
      </c>
    </row>
    <row r="44" spans="1:35" x14ac:dyDescent="0.25">
      <c r="A44">
        <v>43</v>
      </c>
      <c r="B44" t="s">
        <v>119</v>
      </c>
      <c r="C44" t="s">
        <v>84</v>
      </c>
      <c r="D44">
        <v>60</v>
      </c>
      <c r="E44">
        <v>0.2</v>
      </c>
      <c r="F44">
        <v>0</v>
      </c>
      <c r="G44">
        <v>0</v>
      </c>
      <c r="H44">
        <v>0.1</v>
      </c>
      <c r="I44">
        <v>1.1000000000000001</v>
      </c>
      <c r="J44" s="6">
        <v>1</v>
      </c>
      <c r="K44">
        <v>0</v>
      </c>
      <c r="L44">
        <v>1.6</v>
      </c>
      <c r="M44">
        <v>1.3</v>
      </c>
      <c r="N44">
        <v>155</v>
      </c>
      <c r="O44">
        <v>78</v>
      </c>
      <c r="P44">
        <v>933</v>
      </c>
      <c r="Q44">
        <v>933</v>
      </c>
      <c r="R44">
        <v>7.0000000000000007E-2</v>
      </c>
      <c r="S44">
        <v>0.08</v>
      </c>
      <c r="T44">
        <v>0.05</v>
      </c>
      <c r="U44">
        <v>0.4</v>
      </c>
      <c r="V44">
        <v>34.700000000000003</v>
      </c>
      <c r="W44">
        <v>0.13</v>
      </c>
      <c r="X44">
        <v>9</v>
      </c>
      <c r="Y44">
        <v>0.6</v>
      </c>
      <c r="Z44">
        <v>140</v>
      </c>
      <c r="AA44">
        <v>2.2999999999999998</v>
      </c>
      <c r="AB44">
        <v>57</v>
      </c>
      <c r="AC44">
        <v>31</v>
      </c>
      <c r="AD44" s="6">
        <v>7.6</v>
      </c>
      <c r="AE44">
        <v>17</v>
      </c>
      <c r="AF44">
        <v>0.4</v>
      </c>
      <c r="AG44">
        <v>3.3</v>
      </c>
      <c r="AH44">
        <v>0.2</v>
      </c>
      <c r="AI44">
        <v>0</v>
      </c>
    </row>
    <row r="45" spans="1:35" x14ac:dyDescent="0.25">
      <c r="A45">
        <v>44</v>
      </c>
      <c r="B45" t="s">
        <v>120</v>
      </c>
      <c r="C45" t="s">
        <v>84</v>
      </c>
      <c r="D45">
        <v>119</v>
      </c>
      <c r="E45">
        <v>0.1</v>
      </c>
      <c r="F45">
        <v>0</v>
      </c>
      <c r="G45">
        <v>0</v>
      </c>
      <c r="H45">
        <v>0</v>
      </c>
      <c r="I45">
        <v>4.5999999999999996</v>
      </c>
      <c r="J45" s="6">
        <v>3.9</v>
      </c>
      <c r="K45">
        <v>0.7</v>
      </c>
      <c r="L45">
        <v>2.2000000000000002</v>
      </c>
      <c r="M45">
        <v>1.1000000000000001</v>
      </c>
      <c r="N45">
        <v>680</v>
      </c>
      <c r="O45">
        <v>340</v>
      </c>
      <c r="P45">
        <v>4081</v>
      </c>
      <c r="Q45">
        <v>2659</v>
      </c>
      <c r="R45">
        <v>0.05</v>
      </c>
      <c r="S45">
        <v>7.0000000000000007E-2</v>
      </c>
      <c r="T45">
        <v>0.09</v>
      </c>
      <c r="U45">
        <v>0.5</v>
      </c>
      <c r="V45">
        <v>20.2</v>
      </c>
      <c r="W45">
        <v>0.48</v>
      </c>
      <c r="X45">
        <v>14.9</v>
      </c>
      <c r="Y45">
        <v>0.1</v>
      </c>
      <c r="Z45">
        <v>400</v>
      </c>
      <c r="AA45">
        <v>0.9</v>
      </c>
      <c r="AB45">
        <v>65</v>
      </c>
      <c r="AC45">
        <v>41</v>
      </c>
      <c r="AD45" s="6">
        <v>8.4</v>
      </c>
      <c r="AE45">
        <v>27</v>
      </c>
      <c r="AF45">
        <v>0.2</v>
      </c>
      <c r="AG45">
        <v>0.2</v>
      </c>
      <c r="AH45">
        <v>0.1</v>
      </c>
      <c r="AI45">
        <v>0.2</v>
      </c>
    </row>
    <row r="46" spans="1:35" x14ac:dyDescent="0.25">
      <c r="A46">
        <v>45</v>
      </c>
      <c r="B46" t="s">
        <v>17</v>
      </c>
      <c r="C46" t="s">
        <v>84</v>
      </c>
      <c r="D46">
        <v>124</v>
      </c>
      <c r="E46">
        <v>0.3</v>
      </c>
      <c r="F46">
        <v>0</v>
      </c>
      <c r="G46">
        <v>0</v>
      </c>
      <c r="H46">
        <v>0.2</v>
      </c>
      <c r="I46">
        <v>3.7</v>
      </c>
      <c r="J46" s="6">
        <v>3.5</v>
      </c>
      <c r="K46">
        <v>0.2</v>
      </c>
      <c r="L46">
        <v>2.8</v>
      </c>
      <c r="M46">
        <v>1.6</v>
      </c>
      <c r="N46">
        <v>23</v>
      </c>
      <c r="O46">
        <v>11</v>
      </c>
      <c r="P46">
        <v>136</v>
      </c>
      <c r="Q46">
        <v>136</v>
      </c>
      <c r="R46">
        <v>0.12</v>
      </c>
      <c r="S46">
        <v>0.04</v>
      </c>
      <c r="T46">
        <v>0.3</v>
      </c>
      <c r="U46">
        <v>0.4</v>
      </c>
      <c r="V46">
        <v>96</v>
      </c>
      <c r="W46">
        <v>0.14000000000000001</v>
      </c>
      <c r="X46">
        <v>19.2</v>
      </c>
      <c r="Y46">
        <v>0.51</v>
      </c>
      <c r="Z46">
        <v>240</v>
      </c>
      <c r="AA46">
        <v>5.0999999999999996</v>
      </c>
      <c r="AB46">
        <v>53</v>
      </c>
      <c r="AC46">
        <v>25</v>
      </c>
      <c r="AD46" s="6">
        <v>8.8000000000000007</v>
      </c>
      <c r="AE46">
        <v>28</v>
      </c>
      <c r="AF46">
        <v>0.4</v>
      </c>
      <c r="AG46">
        <v>8.6</v>
      </c>
      <c r="AH46">
        <v>0.2</v>
      </c>
      <c r="AI46">
        <v>0.2</v>
      </c>
    </row>
    <row r="47" spans="1:35" x14ac:dyDescent="0.25">
      <c r="A47">
        <v>46</v>
      </c>
      <c r="B47" t="s">
        <v>121</v>
      </c>
      <c r="C47" t="s">
        <v>84</v>
      </c>
      <c r="D47">
        <v>391</v>
      </c>
      <c r="E47">
        <v>1.2</v>
      </c>
      <c r="F47">
        <v>0.2</v>
      </c>
      <c r="G47">
        <v>0.3</v>
      </c>
      <c r="H47">
        <v>0.5</v>
      </c>
      <c r="I47">
        <v>15.7</v>
      </c>
      <c r="J47" s="6">
        <v>3.4</v>
      </c>
      <c r="K47">
        <v>12.3</v>
      </c>
      <c r="L47">
        <v>2.8</v>
      </c>
      <c r="M47">
        <v>3.3</v>
      </c>
      <c r="N47">
        <v>19</v>
      </c>
      <c r="O47">
        <v>9</v>
      </c>
      <c r="P47">
        <v>113</v>
      </c>
      <c r="Q47">
        <v>47</v>
      </c>
      <c r="R47">
        <v>0.15</v>
      </c>
      <c r="S47">
        <v>0.12</v>
      </c>
      <c r="T47">
        <v>0.22</v>
      </c>
      <c r="U47">
        <v>1.7</v>
      </c>
      <c r="V47">
        <v>43</v>
      </c>
      <c r="W47">
        <v>0.89</v>
      </c>
      <c r="X47">
        <v>12</v>
      </c>
      <c r="Y47">
        <v>0.1</v>
      </c>
      <c r="Z47">
        <v>290</v>
      </c>
      <c r="AA47">
        <v>0.3</v>
      </c>
      <c r="AB47">
        <v>7.3</v>
      </c>
      <c r="AC47">
        <v>2.2000000000000002</v>
      </c>
      <c r="AD47" s="6">
        <v>27</v>
      </c>
      <c r="AE47">
        <v>83</v>
      </c>
      <c r="AF47">
        <v>0.4</v>
      </c>
      <c r="AG47">
        <v>3.3</v>
      </c>
      <c r="AH47">
        <v>0.6</v>
      </c>
      <c r="AI47">
        <v>0</v>
      </c>
    </row>
    <row r="48" spans="1:35" x14ac:dyDescent="0.25">
      <c r="A48" s="6">
        <v>47</v>
      </c>
      <c r="B48" s="6" t="s">
        <v>37</v>
      </c>
      <c r="C48" t="s">
        <v>83</v>
      </c>
      <c r="D48">
        <v>200</v>
      </c>
      <c r="E48">
        <v>0.2</v>
      </c>
      <c r="F48">
        <v>0</v>
      </c>
      <c r="G48">
        <v>0</v>
      </c>
      <c r="H48">
        <v>0</v>
      </c>
      <c r="I48">
        <v>9.1999999999999993</v>
      </c>
      <c r="J48" s="6">
        <v>8.6</v>
      </c>
      <c r="K48">
        <v>0</v>
      </c>
      <c r="L48">
        <v>1.7</v>
      </c>
      <c r="M48">
        <v>0.8</v>
      </c>
      <c r="N48">
        <v>30</v>
      </c>
      <c r="O48">
        <v>15</v>
      </c>
      <c r="P48">
        <v>178</v>
      </c>
      <c r="Q48">
        <v>148</v>
      </c>
      <c r="R48">
        <v>0.09</v>
      </c>
      <c r="S48">
        <v>0.03</v>
      </c>
      <c r="T48">
        <v>0.06</v>
      </c>
      <c r="U48">
        <v>0.32</v>
      </c>
      <c r="V48">
        <v>18.100000000000001</v>
      </c>
      <c r="W48">
        <v>0.19</v>
      </c>
      <c r="X48">
        <v>39.4</v>
      </c>
      <c r="Y48">
        <v>0.21</v>
      </c>
      <c r="Z48">
        <v>140</v>
      </c>
      <c r="AA48">
        <v>1</v>
      </c>
      <c r="AB48">
        <v>4</v>
      </c>
      <c r="AC48">
        <v>23</v>
      </c>
      <c r="AD48" s="6">
        <v>9.3000000000000007</v>
      </c>
      <c r="AE48">
        <v>18</v>
      </c>
      <c r="AF48">
        <v>0.1</v>
      </c>
      <c r="AG48">
        <v>1</v>
      </c>
      <c r="AH48">
        <v>0.1</v>
      </c>
      <c r="AI48">
        <v>0.5</v>
      </c>
    </row>
    <row r="49" spans="1:35" x14ac:dyDescent="0.25">
      <c r="A49" s="6">
        <v>48</v>
      </c>
      <c r="B49" s="6" t="s">
        <v>36</v>
      </c>
      <c r="C49" t="s">
        <v>83</v>
      </c>
      <c r="D49">
        <v>289</v>
      </c>
      <c r="E49">
        <v>0.6</v>
      </c>
      <c r="F49">
        <v>0.1</v>
      </c>
      <c r="G49">
        <v>0.2</v>
      </c>
      <c r="H49">
        <v>0.1</v>
      </c>
      <c r="I49">
        <v>14.3</v>
      </c>
      <c r="J49" s="6">
        <v>12.9</v>
      </c>
      <c r="K49">
        <v>1.1000000000000001</v>
      </c>
      <c r="L49">
        <v>1.6</v>
      </c>
      <c r="M49">
        <v>0.6</v>
      </c>
      <c r="N49">
        <v>88</v>
      </c>
      <c r="O49">
        <v>44</v>
      </c>
      <c r="P49">
        <v>530</v>
      </c>
      <c r="Q49">
        <v>530</v>
      </c>
      <c r="R49">
        <v>0.03</v>
      </c>
      <c r="S49">
        <v>0.04</v>
      </c>
      <c r="T49">
        <v>0.06</v>
      </c>
      <c r="U49">
        <v>0.5</v>
      </c>
      <c r="V49">
        <v>50.4</v>
      </c>
      <c r="W49">
        <v>0.18</v>
      </c>
      <c r="X49">
        <v>37.299999999999997</v>
      </c>
      <c r="Y49">
        <v>0.93</v>
      </c>
      <c r="Z49">
        <v>150</v>
      </c>
      <c r="AA49">
        <v>4</v>
      </c>
      <c r="AB49">
        <v>27</v>
      </c>
      <c r="AC49">
        <v>15</v>
      </c>
      <c r="AD49" s="6">
        <v>9</v>
      </c>
      <c r="AE49">
        <v>13</v>
      </c>
      <c r="AF49">
        <v>0.1</v>
      </c>
      <c r="AG49">
        <v>1.6</v>
      </c>
      <c r="AH49">
        <v>0.1</v>
      </c>
      <c r="AI49">
        <v>0.2</v>
      </c>
    </row>
    <row r="50" spans="1:35" x14ac:dyDescent="0.25">
      <c r="A50" s="6">
        <v>49</v>
      </c>
      <c r="B50" s="6" t="s">
        <v>39</v>
      </c>
      <c r="C50" t="s">
        <v>84</v>
      </c>
      <c r="D50">
        <v>97</v>
      </c>
      <c r="E50">
        <v>0.2</v>
      </c>
      <c r="F50">
        <v>0</v>
      </c>
      <c r="G50">
        <v>0</v>
      </c>
      <c r="H50">
        <v>0</v>
      </c>
      <c r="I50">
        <v>2.7</v>
      </c>
      <c r="J50" s="6">
        <v>0.5</v>
      </c>
      <c r="K50">
        <v>2.2000000000000002</v>
      </c>
      <c r="L50">
        <v>1</v>
      </c>
      <c r="M50">
        <v>2.1</v>
      </c>
      <c r="N50">
        <v>236</v>
      </c>
      <c r="O50">
        <v>118</v>
      </c>
      <c r="P50">
        <v>1415</v>
      </c>
      <c r="Q50">
        <v>1415</v>
      </c>
      <c r="R50">
        <v>7.0000000000000007E-2</v>
      </c>
      <c r="S50">
        <v>0.13</v>
      </c>
      <c r="T50">
        <v>0.08</v>
      </c>
      <c r="U50">
        <v>0.4</v>
      </c>
      <c r="V50">
        <v>17.8</v>
      </c>
      <c r="W50">
        <v>0.18</v>
      </c>
      <c r="X50">
        <v>21.3</v>
      </c>
      <c r="Y50">
        <v>0.25</v>
      </c>
      <c r="Z50">
        <v>380</v>
      </c>
      <c r="AA50">
        <v>170</v>
      </c>
      <c r="AB50">
        <v>100</v>
      </c>
      <c r="AC50">
        <v>80</v>
      </c>
      <c r="AD50" s="6">
        <v>81</v>
      </c>
      <c r="AE50">
        <v>43</v>
      </c>
      <c r="AF50">
        <v>2.2999999999999998</v>
      </c>
      <c r="AG50">
        <v>1</v>
      </c>
      <c r="AH50">
        <v>0.3</v>
      </c>
      <c r="AI50">
        <v>0</v>
      </c>
    </row>
    <row r="51" spans="1:35" x14ac:dyDescent="0.25">
      <c r="A51">
        <v>50</v>
      </c>
      <c r="B51" t="s">
        <v>122</v>
      </c>
      <c r="C51" t="s">
        <v>84</v>
      </c>
      <c r="D51">
        <v>594</v>
      </c>
      <c r="E51">
        <v>0.2</v>
      </c>
      <c r="F51">
        <v>0.1</v>
      </c>
      <c r="G51">
        <v>0.1</v>
      </c>
      <c r="H51">
        <v>0</v>
      </c>
      <c r="I51">
        <v>32.1</v>
      </c>
      <c r="J51" s="6">
        <v>0.5</v>
      </c>
      <c r="K51">
        <v>31.6</v>
      </c>
      <c r="L51">
        <v>2.9</v>
      </c>
      <c r="M51">
        <v>1</v>
      </c>
      <c r="N51">
        <v>5</v>
      </c>
      <c r="O51">
        <v>3</v>
      </c>
      <c r="P51">
        <v>30</v>
      </c>
      <c r="Q51">
        <v>30</v>
      </c>
      <c r="R51">
        <v>0.06</v>
      </c>
      <c r="S51">
        <v>0.03</v>
      </c>
      <c r="T51">
        <v>0.2</v>
      </c>
      <c r="U51">
        <v>0.6</v>
      </c>
      <c r="V51">
        <v>24</v>
      </c>
      <c r="W51">
        <v>0.5</v>
      </c>
      <c r="X51">
        <v>30</v>
      </c>
      <c r="Y51">
        <v>0</v>
      </c>
      <c r="Z51">
        <v>270</v>
      </c>
      <c r="AA51">
        <v>1</v>
      </c>
      <c r="AB51">
        <v>50</v>
      </c>
      <c r="AC51">
        <v>32</v>
      </c>
      <c r="AD51" s="6">
        <v>65</v>
      </c>
      <c r="AE51">
        <v>38</v>
      </c>
      <c r="AF51">
        <v>0.7</v>
      </c>
      <c r="AG51">
        <v>2</v>
      </c>
      <c r="AH51">
        <v>0.3</v>
      </c>
      <c r="AI51">
        <v>0.7</v>
      </c>
    </row>
    <row r="52" spans="1:35" x14ac:dyDescent="0.25">
      <c r="A52">
        <v>51</v>
      </c>
      <c r="B52" t="s">
        <v>123</v>
      </c>
      <c r="C52" t="s">
        <v>83</v>
      </c>
      <c r="D52">
        <v>323</v>
      </c>
      <c r="E52">
        <v>0.2</v>
      </c>
      <c r="F52">
        <v>0</v>
      </c>
      <c r="G52">
        <v>0</v>
      </c>
      <c r="H52">
        <v>0</v>
      </c>
      <c r="I52">
        <v>18</v>
      </c>
      <c r="J52" s="6">
        <v>13.3</v>
      </c>
      <c r="K52">
        <v>0</v>
      </c>
      <c r="L52">
        <v>2.2000000000000002</v>
      </c>
      <c r="M52">
        <v>0.6</v>
      </c>
      <c r="N52">
        <v>49</v>
      </c>
      <c r="O52">
        <v>24</v>
      </c>
      <c r="P52">
        <v>292</v>
      </c>
      <c r="Q52">
        <v>263</v>
      </c>
      <c r="R52">
        <v>7.0000000000000007E-2</v>
      </c>
      <c r="S52">
        <v>0.02</v>
      </c>
      <c r="T52">
        <v>0.05</v>
      </c>
      <c r="U52">
        <v>0.16</v>
      </c>
      <c r="V52">
        <v>7.8</v>
      </c>
      <c r="W52">
        <v>0.17</v>
      </c>
      <c r="X52">
        <v>5.5</v>
      </c>
      <c r="Y52">
        <v>0.27</v>
      </c>
      <c r="Z52">
        <v>240</v>
      </c>
      <c r="AA52">
        <v>0</v>
      </c>
      <c r="AB52">
        <v>0</v>
      </c>
      <c r="AC52">
        <v>11</v>
      </c>
      <c r="AD52" s="6">
        <v>8.1999999999999993</v>
      </c>
      <c r="AE52">
        <v>21</v>
      </c>
      <c r="AF52">
        <v>0.1</v>
      </c>
      <c r="AG52">
        <v>1</v>
      </c>
      <c r="AH52">
        <v>0.1</v>
      </c>
      <c r="AI52">
        <v>1.3</v>
      </c>
    </row>
    <row r="53" spans="1:35" x14ac:dyDescent="0.25">
      <c r="A53">
        <v>52</v>
      </c>
      <c r="B53" t="s">
        <v>124</v>
      </c>
      <c r="C53" t="s">
        <v>84</v>
      </c>
      <c r="D53">
        <v>119</v>
      </c>
      <c r="E53">
        <v>0.3</v>
      </c>
      <c r="F53">
        <v>0.1</v>
      </c>
      <c r="G53">
        <v>0</v>
      </c>
      <c r="H53">
        <v>0.2</v>
      </c>
      <c r="I53">
        <v>0.5</v>
      </c>
      <c r="J53" s="6">
        <v>0.1</v>
      </c>
      <c r="K53">
        <v>0</v>
      </c>
      <c r="L53">
        <v>7</v>
      </c>
      <c r="M53">
        <v>2.5</v>
      </c>
      <c r="N53">
        <v>0</v>
      </c>
      <c r="O53">
        <v>0</v>
      </c>
      <c r="P53">
        <v>0</v>
      </c>
      <c r="Q53">
        <v>0</v>
      </c>
      <c r="R53">
        <v>0.13</v>
      </c>
      <c r="S53">
        <v>0.06</v>
      </c>
      <c r="T53">
        <v>0.05</v>
      </c>
      <c r="U53">
        <v>5</v>
      </c>
      <c r="V53">
        <v>25</v>
      </c>
      <c r="W53">
        <v>2.5</v>
      </c>
      <c r="X53">
        <v>5</v>
      </c>
      <c r="Y53">
        <v>0.19</v>
      </c>
      <c r="Z53">
        <v>390</v>
      </c>
      <c r="AA53">
        <v>2</v>
      </c>
      <c r="AB53">
        <v>8</v>
      </c>
      <c r="AC53">
        <v>11</v>
      </c>
      <c r="AD53" s="6">
        <v>16</v>
      </c>
      <c r="AE53">
        <v>160</v>
      </c>
      <c r="AF53">
        <v>1.2</v>
      </c>
      <c r="AG53">
        <v>10</v>
      </c>
      <c r="AH53">
        <v>0.5</v>
      </c>
      <c r="AI53">
        <v>0</v>
      </c>
    </row>
    <row r="54" spans="1:35" x14ac:dyDescent="0.25">
      <c r="A54">
        <v>53</v>
      </c>
      <c r="B54" t="s">
        <v>125</v>
      </c>
      <c r="C54" t="s">
        <v>83</v>
      </c>
      <c r="D54">
        <v>231</v>
      </c>
      <c r="E54">
        <v>0.3</v>
      </c>
      <c r="F54">
        <v>0</v>
      </c>
      <c r="G54">
        <v>0.1</v>
      </c>
      <c r="H54">
        <v>0.1</v>
      </c>
      <c r="I54">
        <v>11.3</v>
      </c>
      <c r="J54" s="6">
        <v>8.8000000000000007</v>
      </c>
      <c r="K54">
        <v>0</v>
      </c>
      <c r="L54">
        <v>1.3</v>
      </c>
      <c r="M54">
        <v>1</v>
      </c>
      <c r="N54">
        <v>30</v>
      </c>
      <c r="O54">
        <v>15</v>
      </c>
      <c r="P54">
        <v>178</v>
      </c>
      <c r="Q54">
        <v>130</v>
      </c>
      <c r="R54">
        <v>0.02</v>
      </c>
      <c r="S54">
        <v>0.02</v>
      </c>
      <c r="T54">
        <v>0.02</v>
      </c>
      <c r="U54">
        <v>0.64</v>
      </c>
      <c r="V54">
        <v>8</v>
      </c>
      <c r="W54">
        <v>0.24</v>
      </c>
      <c r="X54">
        <v>4.5999999999999996</v>
      </c>
      <c r="Y54">
        <v>0.43</v>
      </c>
      <c r="Z54">
        <v>260</v>
      </c>
      <c r="AA54">
        <v>1</v>
      </c>
      <c r="AB54">
        <v>7</v>
      </c>
      <c r="AC54">
        <v>7</v>
      </c>
      <c r="AD54" s="6">
        <v>9</v>
      </c>
      <c r="AE54">
        <v>25</v>
      </c>
      <c r="AF54">
        <v>0.2</v>
      </c>
      <c r="AG54">
        <v>3</v>
      </c>
      <c r="AH54">
        <v>0.1</v>
      </c>
      <c r="AI54">
        <v>0.2</v>
      </c>
    </row>
    <row r="55" spans="1:35" x14ac:dyDescent="0.25">
      <c r="A55">
        <v>54</v>
      </c>
      <c r="B55" t="s">
        <v>126</v>
      </c>
      <c r="C55" t="s">
        <v>83</v>
      </c>
      <c r="D55">
        <v>192</v>
      </c>
      <c r="E55">
        <v>0.2</v>
      </c>
      <c r="F55">
        <v>0</v>
      </c>
      <c r="G55">
        <v>0</v>
      </c>
      <c r="H55">
        <v>0</v>
      </c>
      <c r="I55">
        <v>8</v>
      </c>
      <c r="J55" s="6">
        <v>7.6</v>
      </c>
      <c r="K55">
        <v>0.4</v>
      </c>
      <c r="L55">
        <v>2.7</v>
      </c>
      <c r="M55">
        <v>0.8</v>
      </c>
      <c r="N55">
        <v>26</v>
      </c>
      <c r="O55">
        <v>13</v>
      </c>
      <c r="P55">
        <v>154</v>
      </c>
      <c r="Q55">
        <v>72</v>
      </c>
      <c r="R55">
        <v>0.09</v>
      </c>
      <c r="S55">
        <v>0.03</v>
      </c>
      <c r="T55">
        <v>0.05</v>
      </c>
      <c r="U55">
        <v>0.35</v>
      </c>
      <c r="V55">
        <v>18.8</v>
      </c>
      <c r="W55">
        <v>0.18</v>
      </c>
      <c r="X55">
        <v>50.9</v>
      </c>
      <c r="Y55">
        <v>0.19</v>
      </c>
      <c r="Z55">
        <v>180</v>
      </c>
      <c r="AA55">
        <v>0</v>
      </c>
      <c r="AB55">
        <v>4</v>
      </c>
      <c r="AC55">
        <v>45</v>
      </c>
      <c r="AD55" s="6">
        <v>15</v>
      </c>
      <c r="AE55">
        <v>38</v>
      </c>
      <c r="AF55">
        <v>0.3</v>
      </c>
      <c r="AG55">
        <v>1</v>
      </c>
      <c r="AH55">
        <v>0.2</v>
      </c>
      <c r="AI55">
        <v>0.5</v>
      </c>
    </row>
    <row r="56" spans="1:35" x14ac:dyDescent="0.25">
      <c r="A56">
        <v>55</v>
      </c>
      <c r="B56" t="s">
        <v>127</v>
      </c>
      <c r="C56" t="s">
        <v>83</v>
      </c>
      <c r="D56">
        <v>188</v>
      </c>
      <c r="E56">
        <v>0.1</v>
      </c>
      <c r="F56">
        <v>0</v>
      </c>
      <c r="G56">
        <v>0</v>
      </c>
      <c r="H56">
        <v>0</v>
      </c>
      <c r="I56">
        <v>9.5</v>
      </c>
      <c r="J56" s="6">
        <v>9.5</v>
      </c>
      <c r="K56">
        <v>0</v>
      </c>
      <c r="L56">
        <v>1.8</v>
      </c>
      <c r="M56">
        <v>0.5</v>
      </c>
      <c r="N56">
        <v>75</v>
      </c>
      <c r="O56">
        <v>37</v>
      </c>
      <c r="P56">
        <v>449</v>
      </c>
      <c r="Q56">
        <v>169</v>
      </c>
      <c r="R56">
        <v>0.03</v>
      </c>
      <c r="S56">
        <v>0.03</v>
      </c>
      <c r="T56">
        <v>0.04</v>
      </c>
      <c r="U56">
        <v>0.33</v>
      </c>
      <c r="V56">
        <v>17.8</v>
      </c>
      <c r="W56">
        <v>0.16</v>
      </c>
      <c r="X56">
        <v>67.8</v>
      </c>
      <c r="Y56">
        <v>0.28000000000000003</v>
      </c>
      <c r="Z56">
        <v>220</v>
      </c>
      <c r="AA56">
        <v>14</v>
      </c>
      <c r="AB56">
        <v>6</v>
      </c>
      <c r="AC56">
        <v>21</v>
      </c>
      <c r="AD56" s="6">
        <v>17</v>
      </c>
      <c r="AE56">
        <v>9</v>
      </c>
      <c r="AF56">
        <v>0.2</v>
      </c>
      <c r="AG56">
        <v>0.1</v>
      </c>
      <c r="AH56">
        <v>0.1</v>
      </c>
      <c r="AI56">
        <v>0.9</v>
      </c>
    </row>
    <row r="57" spans="1:35" x14ac:dyDescent="0.25">
      <c r="A57">
        <v>56</v>
      </c>
      <c r="B57" t="s">
        <v>128</v>
      </c>
      <c r="C57" t="s">
        <v>83</v>
      </c>
      <c r="D57">
        <v>426</v>
      </c>
      <c r="E57">
        <v>3</v>
      </c>
      <c r="F57">
        <v>0.5</v>
      </c>
      <c r="G57">
        <v>0.5</v>
      </c>
      <c r="H57">
        <v>1.8</v>
      </c>
      <c r="I57">
        <v>10.9</v>
      </c>
      <c r="J57" s="6">
        <v>8.5</v>
      </c>
      <c r="K57">
        <v>1.2</v>
      </c>
      <c r="L57">
        <v>6.8</v>
      </c>
      <c r="M57">
        <v>2.1</v>
      </c>
      <c r="N57">
        <v>127</v>
      </c>
      <c r="O57">
        <v>64</v>
      </c>
      <c r="P57">
        <v>764</v>
      </c>
      <c r="Q57">
        <v>670</v>
      </c>
      <c r="R57">
        <v>0</v>
      </c>
      <c r="S57">
        <v>7.0000000000000007E-2</v>
      </c>
      <c r="T57">
        <v>0.23</v>
      </c>
      <c r="U57">
        <v>1.47</v>
      </c>
      <c r="V57">
        <v>102.6</v>
      </c>
      <c r="W57">
        <v>0.27</v>
      </c>
      <c r="X57">
        <v>25.6</v>
      </c>
      <c r="Y57">
        <v>0.4</v>
      </c>
      <c r="Z57">
        <v>240</v>
      </c>
      <c r="AA57">
        <v>5</v>
      </c>
      <c r="AB57">
        <v>37</v>
      </c>
      <c r="AC57">
        <v>8.1</v>
      </c>
      <c r="AD57" s="6">
        <v>26</v>
      </c>
      <c r="AE57">
        <v>46</v>
      </c>
      <c r="AF57">
        <v>0.6</v>
      </c>
      <c r="AG57">
        <v>1.3</v>
      </c>
      <c r="AH57">
        <v>0.8</v>
      </c>
      <c r="AI57">
        <v>0.2</v>
      </c>
    </row>
    <row r="58" spans="1:35" x14ac:dyDescent="0.25">
      <c r="A58">
        <v>57</v>
      </c>
      <c r="B58" t="s">
        <v>129</v>
      </c>
      <c r="C58" t="s">
        <v>84</v>
      </c>
      <c r="D58">
        <v>260</v>
      </c>
      <c r="E58">
        <v>0.4</v>
      </c>
      <c r="F58">
        <v>0.1</v>
      </c>
      <c r="G58">
        <v>0</v>
      </c>
      <c r="H58">
        <v>0.3</v>
      </c>
      <c r="I58">
        <v>12.1</v>
      </c>
      <c r="J58" s="6">
        <v>3.1</v>
      </c>
      <c r="K58">
        <v>9</v>
      </c>
      <c r="L58">
        <v>2.1</v>
      </c>
      <c r="M58">
        <v>1.3</v>
      </c>
      <c r="N58">
        <v>3</v>
      </c>
      <c r="O58">
        <v>2</v>
      </c>
      <c r="P58">
        <v>20</v>
      </c>
      <c r="Q58">
        <v>20</v>
      </c>
      <c r="R58">
        <v>0.1</v>
      </c>
      <c r="S58">
        <v>0.13</v>
      </c>
      <c r="T58">
        <v>0.09</v>
      </c>
      <c r="U58">
        <v>0.94</v>
      </c>
      <c r="V58">
        <v>43.2</v>
      </c>
      <c r="W58">
        <v>0.52</v>
      </c>
      <c r="X58">
        <v>19.7</v>
      </c>
      <c r="Y58">
        <v>0.88</v>
      </c>
      <c r="Z58">
        <v>430</v>
      </c>
      <c r="AA58">
        <v>3.8</v>
      </c>
      <c r="AB58">
        <v>36</v>
      </c>
      <c r="AC58">
        <v>42</v>
      </c>
      <c r="AD58" s="6">
        <v>21</v>
      </c>
      <c r="AE58">
        <v>71</v>
      </c>
      <c r="AF58">
        <v>0.4</v>
      </c>
      <c r="AG58">
        <v>3.6</v>
      </c>
      <c r="AH58">
        <v>0.5</v>
      </c>
      <c r="AI58">
        <v>0.6</v>
      </c>
    </row>
    <row r="59" spans="1:35" x14ac:dyDescent="0.25">
      <c r="A59">
        <v>58</v>
      </c>
      <c r="B59" t="s">
        <v>130</v>
      </c>
      <c r="C59" t="s">
        <v>84</v>
      </c>
      <c r="D59">
        <v>85</v>
      </c>
      <c r="E59">
        <v>0.3</v>
      </c>
      <c r="F59">
        <v>0.1</v>
      </c>
      <c r="G59">
        <v>0</v>
      </c>
      <c r="H59">
        <v>0.2</v>
      </c>
      <c r="I59">
        <v>2.6</v>
      </c>
      <c r="J59" s="6">
        <v>2.5</v>
      </c>
      <c r="K59">
        <v>0.1</v>
      </c>
      <c r="L59">
        <v>2</v>
      </c>
      <c r="M59">
        <v>0.8</v>
      </c>
      <c r="N59">
        <v>42</v>
      </c>
      <c r="O59">
        <v>21</v>
      </c>
      <c r="P59">
        <v>250</v>
      </c>
      <c r="Q59">
        <v>217</v>
      </c>
      <c r="R59">
        <v>0.03</v>
      </c>
      <c r="S59">
        <v>0.01</v>
      </c>
      <c r="T59">
        <v>0.28000000000000003</v>
      </c>
      <c r="U59">
        <v>0.1</v>
      </c>
      <c r="V59">
        <v>27.6</v>
      </c>
      <c r="W59">
        <v>0.13</v>
      </c>
      <c r="X59">
        <v>126.6</v>
      </c>
      <c r="Y59">
        <v>0.7</v>
      </c>
      <c r="Z59">
        <v>160</v>
      </c>
      <c r="AA59">
        <v>6</v>
      </c>
      <c r="AB59">
        <v>19</v>
      </c>
      <c r="AC59">
        <v>6</v>
      </c>
      <c r="AD59" s="6">
        <v>6</v>
      </c>
      <c r="AE59">
        <v>15</v>
      </c>
      <c r="AF59">
        <v>0.3</v>
      </c>
      <c r="AG59">
        <v>2</v>
      </c>
      <c r="AH59">
        <v>0.2</v>
      </c>
      <c r="AI59">
        <v>0</v>
      </c>
    </row>
    <row r="60" spans="1:35" x14ac:dyDescent="0.25">
      <c r="A60">
        <v>59</v>
      </c>
      <c r="B60" t="s">
        <v>131</v>
      </c>
      <c r="C60" t="s">
        <v>84</v>
      </c>
      <c r="D60">
        <v>133</v>
      </c>
      <c r="E60">
        <v>0.4</v>
      </c>
      <c r="F60">
        <v>0.1</v>
      </c>
      <c r="G60">
        <v>0</v>
      </c>
      <c r="H60">
        <v>0.1</v>
      </c>
      <c r="I60">
        <v>5.2</v>
      </c>
      <c r="J60" s="6">
        <v>5.0999999999999996</v>
      </c>
      <c r="K60">
        <v>0.1</v>
      </c>
      <c r="L60">
        <v>2</v>
      </c>
      <c r="M60">
        <v>0.9</v>
      </c>
      <c r="N60">
        <v>152</v>
      </c>
      <c r="O60">
        <v>76</v>
      </c>
      <c r="P60">
        <v>910</v>
      </c>
      <c r="Q60">
        <v>696</v>
      </c>
      <c r="R60">
        <v>0.03</v>
      </c>
      <c r="S60">
        <v>0.03</v>
      </c>
      <c r="T60">
        <v>0.27</v>
      </c>
      <c r="U60">
        <v>0.9</v>
      </c>
      <c r="V60">
        <v>28.2</v>
      </c>
      <c r="W60">
        <v>0.16</v>
      </c>
      <c r="X60">
        <v>149.30000000000001</v>
      </c>
      <c r="Y60">
        <v>2.2599999999999998</v>
      </c>
      <c r="Z60">
        <v>170</v>
      </c>
      <c r="AA60">
        <v>3</v>
      </c>
      <c r="AB60">
        <v>18</v>
      </c>
      <c r="AC60">
        <v>9</v>
      </c>
      <c r="AD60" s="6">
        <v>12</v>
      </c>
      <c r="AE60">
        <v>20</v>
      </c>
      <c r="AF60">
        <v>0.4</v>
      </c>
      <c r="AG60">
        <v>1</v>
      </c>
      <c r="AH60">
        <v>0.3</v>
      </c>
      <c r="AI60">
        <v>0</v>
      </c>
    </row>
    <row r="61" spans="1:35" x14ac:dyDescent="0.25">
      <c r="A61">
        <v>60</v>
      </c>
      <c r="B61" t="s">
        <v>132</v>
      </c>
      <c r="C61" t="s">
        <v>84</v>
      </c>
      <c r="D61">
        <v>245</v>
      </c>
      <c r="E61">
        <v>0.5</v>
      </c>
      <c r="F61">
        <v>0.1</v>
      </c>
      <c r="G61">
        <v>0</v>
      </c>
      <c r="H61">
        <v>0.2</v>
      </c>
      <c r="I61">
        <v>7.4</v>
      </c>
      <c r="J61" s="6">
        <v>4.8</v>
      </c>
      <c r="K61">
        <v>2.6</v>
      </c>
      <c r="L61">
        <v>4.3</v>
      </c>
      <c r="M61">
        <v>3.9</v>
      </c>
      <c r="N61">
        <v>770</v>
      </c>
      <c r="O61">
        <v>385</v>
      </c>
      <c r="P61">
        <v>4620</v>
      </c>
      <c r="Q61">
        <v>4620</v>
      </c>
      <c r="R61">
        <v>0.15</v>
      </c>
      <c r="S61">
        <v>0.3</v>
      </c>
      <c r="T61">
        <v>0.2</v>
      </c>
      <c r="U61">
        <v>1.4</v>
      </c>
      <c r="V61">
        <v>132</v>
      </c>
      <c r="W61">
        <v>0.31</v>
      </c>
      <c r="X61">
        <v>182</v>
      </c>
      <c r="Y61">
        <v>3.54</v>
      </c>
      <c r="Z61">
        <v>850</v>
      </c>
      <c r="AA61">
        <v>38</v>
      </c>
      <c r="AB61">
        <v>160</v>
      </c>
      <c r="AC61">
        <v>210</v>
      </c>
      <c r="AD61" s="6">
        <v>37</v>
      </c>
      <c r="AE61">
        <v>110</v>
      </c>
      <c r="AF61">
        <v>5.9</v>
      </c>
      <c r="AG61">
        <v>3.4</v>
      </c>
      <c r="AH61">
        <v>0.8</v>
      </c>
      <c r="AI61">
        <v>0</v>
      </c>
    </row>
    <row r="62" spans="1:35" x14ac:dyDescent="0.25">
      <c r="A62">
        <v>61</v>
      </c>
      <c r="B62" t="s">
        <v>133</v>
      </c>
      <c r="C62" t="s">
        <v>84</v>
      </c>
      <c r="D62">
        <v>205</v>
      </c>
      <c r="E62">
        <v>0.7</v>
      </c>
      <c r="F62">
        <v>0.1</v>
      </c>
      <c r="G62">
        <v>0</v>
      </c>
      <c r="H62">
        <v>0.4</v>
      </c>
      <c r="I62">
        <v>5.3</v>
      </c>
      <c r="J62" s="6">
        <v>5.2</v>
      </c>
      <c r="K62">
        <v>0.1</v>
      </c>
      <c r="L62">
        <v>3</v>
      </c>
      <c r="M62">
        <v>3.8</v>
      </c>
      <c r="N62">
        <v>122</v>
      </c>
      <c r="O62">
        <v>61</v>
      </c>
      <c r="P62">
        <v>730</v>
      </c>
      <c r="Q62">
        <v>730</v>
      </c>
      <c r="R62">
        <v>0.12</v>
      </c>
      <c r="S62">
        <v>0.33</v>
      </c>
      <c r="T62">
        <v>0.05</v>
      </c>
      <c r="U62">
        <v>1.1000000000000001</v>
      </c>
      <c r="V62">
        <v>110</v>
      </c>
      <c r="W62">
        <v>0.19</v>
      </c>
      <c r="X62">
        <v>31</v>
      </c>
      <c r="Y62">
        <v>5</v>
      </c>
      <c r="Z62">
        <v>260</v>
      </c>
      <c r="AA62">
        <v>15</v>
      </c>
      <c r="AB62">
        <v>34</v>
      </c>
      <c r="AC62">
        <v>210</v>
      </c>
      <c r="AD62" s="6">
        <v>30</v>
      </c>
      <c r="AE62">
        <v>75</v>
      </c>
      <c r="AF62">
        <v>9.5</v>
      </c>
      <c r="AG62">
        <v>4</v>
      </c>
      <c r="AH62">
        <v>1.2</v>
      </c>
      <c r="AI62">
        <v>0</v>
      </c>
    </row>
    <row r="63" spans="1:35" x14ac:dyDescent="0.25">
      <c r="A63">
        <v>62</v>
      </c>
      <c r="B63" t="s">
        <v>134</v>
      </c>
      <c r="C63" t="s">
        <v>83</v>
      </c>
      <c r="D63">
        <v>183</v>
      </c>
      <c r="E63">
        <v>0.1</v>
      </c>
      <c r="F63">
        <v>0</v>
      </c>
      <c r="G63">
        <v>0</v>
      </c>
      <c r="H63">
        <v>0</v>
      </c>
      <c r="I63">
        <v>8.9</v>
      </c>
      <c r="J63" s="6">
        <v>8</v>
      </c>
      <c r="K63">
        <v>0</v>
      </c>
      <c r="L63">
        <v>1.9</v>
      </c>
      <c r="M63">
        <v>0.8</v>
      </c>
      <c r="N63">
        <v>25</v>
      </c>
      <c r="O63">
        <v>12</v>
      </c>
      <c r="P63">
        <v>147</v>
      </c>
      <c r="Q63">
        <v>147</v>
      </c>
      <c r="R63">
        <v>0.01</v>
      </c>
      <c r="S63">
        <v>0.03</v>
      </c>
      <c r="T63">
        <v>0.02</v>
      </c>
      <c r="U63">
        <v>0.63</v>
      </c>
      <c r="V63">
        <v>4.5</v>
      </c>
      <c r="W63">
        <v>0.18</v>
      </c>
      <c r="X63">
        <v>6.1</v>
      </c>
      <c r="Y63">
        <v>0.96</v>
      </c>
      <c r="Z63">
        <v>190</v>
      </c>
      <c r="AA63">
        <v>1.3</v>
      </c>
      <c r="AB63">
        <v>2.6</v>
      </c>
      <c r="AC63">
        <v>7.3</v>
      </c>
      <c r="AD63" s="6">
        <v>9</v>
      </c>
      <c r="AE63">
        <v>21</v>
      </c>
      <c r="AF63">
        <v>0.2</v>
      </c>
      <c r="AG63">
        <v>3</v>
      </c>
      <c r="AH63">
        <v>0.1</v>
      </c>
      <c r="AI63">
        <v>1.3</v>
      </c>
    </row>
    <row r="64" spans="1:35" x14ac:dyDescent="0.25">
      <c r="A64">
        <v>63</v>
      </c>
      <c r="B64" t="s">
        <v>135</v>
      </c>
      <c r="C64" t="s">
        <v>83</v>
      </c>
      <c r="D64">
        <v>203</v>
      </c>
      <c r="E64">
        <v>0.2</v>
      </c>
      <c r="F64">
        <v>0</v>
      </c>
      <c r="G64">
        <v>0</v>
      </c>
      <c r="H64">
        <v>0.1</v>
      </c>
      <c r="I64">
        <v>10.199999999999999</v>
      </c>
      <c r="J64" s="6">
        <v>8.8000000000000007</v>
      </c>
      <c r="K64">
        <v>0</v>
      </c>
      <c r="L64">
        <v>1.6</v>
      </c>
      <c r="M64">
        <v>0.6</v>
      </c>
      <c r="N64">
        <v>30</v>
      </c>
      <c r="O64">
        <v>15</v>
      </c>
      <c r="P64">
        <v>179</v>
      </c>
      <c r="Q64">
        <v>176</v>
      </c>
      <c r="R64">
        <v>0.04</v>
      </c>
      <c r="S64">
        <v>0.04</v>
      </c>
      <c r="T64">
        <v>0.03</v>
      </c>
      <c r="U64">
        <v>0.45</v>
      </c>
      <c r="V64">
        <v>2</v>
      </c>
      <c r="W64">
        <v>0.17</v>
      </c>
      <c r="X64">
        <v>5.2</v>
      </c>
      <c r="Y64">
        <v>0.27</v>
      </c>
      <c r="Z64">
        <v>160</v>
      </c>
      <c r="AA64">
        <v>1.7</v>
      </c>
      <c r="AB64">
        <v>1.5</v>
      </c>
      <c r="AC64">
        <v>8.3000000000000007</v>
      </c>
      <c r="AD64" s="6">
        <v>7.4</v>
      </c>
      <c r="AE64">
        <v>16</v>
      </c>
      <c r="AF64">
        <v>0.3</v>
      </c>
      <c r="AG64">
        <v>1.4</v>
      </c>
      <c r="AH64">
        <v>0.1</v>
      </c>
      <c r="AI64">
        <v>0.6</v>
      </c>
    </row>
    <row r="65" spans="1:35" x14ac:dyDescent="0.25">
      <c r="A65">
        <v>64</v>
      </c>
      <c r="B65" t="s">
        <v>44</v>
      </c>
      <c r="C65" t="s">
        <v>83</v>
      </c>
      <c r="D65">
        <v>153</v>
      </c>
      <c r="E65">
        <v>0.5</v>
      </c>
      <c r="F65">
        <v>0</v>
      </c>
      <c r="G65">
        <v>0.1</v>
      </c>
      <c r="H65">
        <v>0.3</v>
      </c>
      <c r="I65">
        <v>6.2</v>
      </c>
      <c r="J65" s="6">
        <v>6.1</v>
      </c>
      <c r="K65">
        <v>0.1</v>
      </c>
      <c r="L65">
        <v>2.9</v>
      </c>
      <c r="M65">
        <v>0.3</v>
      </c>
      <c r="N65">
        <v>2</v>
      </c>
      <c r="O65">
        <v>1</v>
      </c>
      <c r="P65">
        <v>9</v>
      </c>
      <c r="Q65">
        <v>9</v>
      </c>
      <c r="R65">
        <v>0.02</v>
      </c>
      <c r="S65">
        <v>0.02</v>
      </c>
      <c r="T65">
        <v>0.01</v>
      </c>
      <c r="U65">
        <v>0.1</v>
      </c>
      <c r="V65">
        <v>3</v>
      </c>
      <c r="W65">
        <v>0</v>
      </c>
      <c r="X65">
        <v>12</v>
      </c>
      <c r="Y65">
        <v>0.94</v>
      </c>
      <c r="Z65">
        <v>81</v>
      </c>
      <c r="AA65">
        <v>2</v>
      </c>
      <c r="AB65">
        <v>4</v>
      </c>
      <c r="AC65">
        <v>14</v>
      </c>
      <c r="AD65" s="6">
        <v>6</v>
      </c>
      <c r="AE65">
        <v>10</v>
      </c>
      <c r="AF65">
        <v>0.5</v>
      </c>
      <c r="AG65">
        <v>5</v>
      </c>
      <c r="AH65">
        <v>0.2</v>
      </c>
      <c r="AI65">
        <v>0</v>
      </c>
    </row>
    <row r="66" spans="1:35" x14ac:dyDescent="0.25">
      <c r="A66" s="6">
        <v>65</v>
      </c>
      <c r="B66" s="6" t="s">
        <v>13</v>
      </c>
      <c r="C66" t="s">
        <v>83</v>
      </c>
      <c r="D66">
        <v>197</v>
      </c>
      <c r="E66">
        <v>0.5</v>
      </c>
      <c r="F66">
        <v>0</v>
      </c>
      <c r="G66">
        <v>0.2</v>
      </c>
      <c r="H66">
        <v>0.2</v>
      </c>
      <c r="I66">
        <v>7.3</v>
      </c>
      <c r="J66" s="6">
        <v>7.3</v>
      </c>
      <c r="K66">
        <v>0</v>
      </c>
      <c r="L66">
        <v>5.9</v>
      </c>
      <c r="M66">
        <v>0.4</v>
      </c>
      <c r="N66">
        <v>4</v>
      </c>
      <c r="O66">
        <v>2</v>
      </c>
      <c r="P66">
        <v>24</v>
      </c>
      <c r="Q66">
        <v>24</v>
      </c>
      <c r="R66">
        <v>0.03</v>
      </c>
      <c r="S66">
        <v>0.03</v>
      </c>
      <c r="T66">
        <v>0.04</v>
      </c>
      <c r="U66">
        <v>0.2</v>
      </c>
      <c r="V66">
        <v>8</v>
      </c>
      <c r="W66">
        <v>0.08</v>
      </c>
      <c r="X66">
        <v>13</v>
      </c>
      <c r="Y66">
        <v>0.4</v>
      </c>
      <c r="Z66">
        <v>180</v>
      </c>
      <c r="AA66">
        <v>2</v>
      </c>
      <c r="AB66">
        <v>1.7</v>
      </c>
      <c r="AC66">
        <v>10</v>
      </c>
      <c r="AD66" s="6">
        <v>8.1999999999999993</v>
      </c>
      <c r="AE66">
        <v>20</v>
      </c>
      <c r="AF66">
        <v>0.6</v>
      </c>
      <c r="AG66">
        <v>1</v>
      </c>
      <c r="AH66">
        <v>0.2</v>
      </c>
      <c r="AI66">
        <v>0</v>
      </c>
    </row>
    <row r="67" spans="1:35" x14ac:dyDescent="0.25">
      <c r="A67">
        <v>66</v>
      </c>
      <c r="B67" t="s">
        <v>136</v>
      </c>
      <c r="C67" t="s">
        <v>84</v>
      </c>
      <c r="D67">
        <v>72</v>
      </c>
      <c r="E67">
        <v>0.1</v>
      </c>
      <c r="F67">
        <v>0</v>
      </c>
      <c r="G67">
        <v>0</v>
      </c>
      <c r="H67">
        <v>0.1</v>
      </c>
      <c r="I67">
        <v>2.1</v>
      </c>
      <c r="J67" s="6">
        <v>2.1</v>
      </c>
      <c r="K67">
        <v>0</v>
      </c>
      <c r="L67">
        <v>1.6</v>
      </c>
      <c r="M67">
        <v>1.1000000000000001</v>
      </c>
      <c r="N67">
        <v>2</v>
      </c>
      <c r="O67">
        <v>1</v>
      </c>
      <c r="P67">
        <v>10</v>
      </c>
      <c r="Q67">
        <v>10</v>
      </c>
      <c r="R67">
        <v>0.02</v>
      </c>
      <c r="S67">
        <v>0.03</v>
      </c>
      <c r="T67">
        <v>0.05</v>
      </c>
      <c r="U67">
        <v>0.25</v>
      </c>
      <c r="V67">
        <v>20.3</v>
      </c>
      <c r="W67">
        <v>0.1</v>
      </c>
      <c r="X67">
        <v>19.7</v>
      </c>
      <c r="Y67">
        <v>0.01</v>
      </c>
      <c r="Z67">
        <v>300</v>
      </c>
      <c r="AA67">
        <v>29</v>
      </c>
      <c r="AB67">
        <v>38</v>
      </c>
      <c r="AC67">
        <v>34</v>
      </c>
      <c r="AD67" s="6">
        <v>10</v>
      </c>
      <c r="AE67">
        <v>18</v>
      </c>
      <c r="AF67">
        <v>0.4</v>
      </c>
      <c r="AG67">
        <v>1.2</v>
      </c>
      <c r="AH67">
        <v>0.1</v>
      </c>
      <c r="AI67">
        <v>0.1</v>
      </c>
    </row>
    <row r="68" spans="1:35" x14ac:dyDescent="0.25">
      <c r="A68">
        <v>67</v>
      </c>
      <c r="B68" t="s">
        <v>137</v>
      </c>
      <c r="C68" t="s">
        <v>84</v>
      </c>
      <c r="D68">
        <v>192</v>
      </c>
      <c r="E68">
        <v>0.1</v>
      </c>
      <c r="F68">
        <v>0</v>
      </c>
      <c r="G68">
        <v>0</v>
      </c>
      <c r="H68">
        <v>0.1</v>
      </c>
      <c r="I68">
        <v>8.4</v>
      </c>
      <c r="J68" s="6">
        <v>8.4</v>
      </c>
      <c r="K68">
        <v>0</v>
      </c>
      <c r="L68">
        <v>2.5</v>
      </c>
      <c r="M68">
        <v>1.5</v>
      </c>
      <c r="N68">
        <v>1</v>
      </c>
      <c r="O68">
        <v>1</v>
      </c>
      <c r="P68">
        <v>7</v>
      </c>
      <c r="Q68">
        <v>7</v>
      </c>
      <c r="R68">
        <v>0.02</v>
      </c>
      <c r="S68">
        <v>0.04</v>
      </c>
      <c r="T68">
        <v>0.04</v>
      </c>
      <c r="U68">
        <v>0.23</v>
      </c>
      <c r="V68">
        <v>83</v>
      </c>
      <c r="W68">
        <v>0.15</v>
      </c>
      <c r="X68">
        <v>5.5</v>
      </c>
      <c r="Y68">
        <v>0.05</v>
      </c>
      <c r="Z68">
        <v>430</v>
      </c>
      <c r="AA68">
        <v>49</v>
      </c>
      <c r="AB68">
        <v>76</v>
      </c>
      <c r="AC68">
        <v>16</v>
      </c>
      <c r="AD68" s="6">
        <v>21</v>
      </c>
      <c r="AE68">
        <v>23</v>
      </c>
      <c r="AF68">
        <v>0.3</v>
      </c>
      <c r="AG68">
        <v>0.4</v>
      </c>
      <c r="AH68">
        <v>0.3</v>
      </c>
      <c r="AI68">
        <v>0.2</v>
      </c>
    </row>
    <row r="69" spans="1:35" x14ac:dyDescent="0.25">
      <c r="A69">
        <v>68</v>
      </c>
      <c r="B69" t="s">
        <v>138</v>
      </c>
      <c r="C69" t="s">
        <v>84</v>
      </c>
      <c r="D69">
        <v>76</v>
      </c>
      <c r="E69">
        <v>0.3</v>
      </c>
      <c r="F69">
        <v>0</v>
      </c>
      <c r="G69">
        <v>0</v>
      </c>
      <c r="H69">
        <v>0</v>
      </c>
      <c r="I69">
        <v>2.6</v>
      </c>
      <c r="J69" s="6">
        <v>2.6</v>
      </c>
      <c r="K69">
        <v>0</v>
      </c>
      <c r="L69">
        <v>1.2</v>
      </c>
      <c r="M69">
        <v>0.6</v>
      </c>
      <c r="N69">
        <v>7</v>
      </c>
      <c r="O69">
        <v>4</v>
      </c>
      <c r="P69">
        <v>44</v>
      </c>
      <c r="Q69">
        <v>44</v>
      </c>
      <c r="R69">
        <v>0.03</v>
      </c>
      <c r="S69">
        <v>0.04</v>
      </c>
      <c r="T69">
        <v>0.06</v>
      </c>
      <c r="U69">
        <v>0.3</v>
      </c>
      <c r="V69">
        <v>46.6</v>
      </c>
      <c r="W69">
        <v>0.1</v>
      </c>
      <c r="X69">
        <v>15.7</v>
      </c>
      <c r="Y69">
        <v>0</v>
      </c>
      <c r="Z69">
        <v>250</v>
      </c>
      <c r="AA69">
        <v>9.9</v>
      </c>
      <c r="AB69">
        <v>24</v>
      </c>
      <c r="AC69">
        <v>28</v>
      </c>
      <c r="AD69" s="6">
        <v>6.5</v>
      </c>
      <c r="AE69">
        <v>20</v>
      </c>
      <c r="AF69">
        <v>0.3</v>
      </c>
      <c r="AG69">
        <v>1.2</v>
      </c>
      <c r="AH69">
        <v>0.2</v>
      </c>
      <c r="AI69">
        <v>0.2</v>
      </c>
    </row>
    <row r="70" spans="1:35" x14ac:dyDescent="0.25">
      <c r="A70">
        <v>69</v>
      </c>
      <c r="B70" t="s">
        <v>139</v>
      </c>
      <c r="C70" t="s">
        <v>83</v>
      </c>
      <c r="D70">
        <v>91</v>
      </c>
      <c r="E70">
        <v>0.2</v>
      </c>
      <c r="F70">
        <v>0.1</v>
      </c>
      <c r="G70">
        <v>0</v>
      </c>
      <c r="H70">
        <v>0.1</v>
      </c>
      <c r="I70">
        <v>1.5</v>
      </c>
      <c r="J70" s="6">
        <v>1.5</v>
      </c>
      <c r="K70">
        <v>0</v>
      </c>
      <c r="L70">
        <v>2.5</v>
      </c>
      <c r="M70">
        <v>0.8</v>
      </c>
      <c r="N70">
        <v>18</v>
      </c>
      <c r="O70">
        <v>9</v>
      </c>
      <c r="P70">
        <v>108</v>
      </c>
      <c r="Q70">
        <v>108</v>
      </c>
      <c r="R70">
        <v>0.02</v>
      </c>
      <c r="S70">
        <v>0.03</v>
      </c>
      <c r="T70">
        <v>0.05</v>
      </c>
      <c r="U70">
        <v>0.23</v>
      </c>
      <c r="V70">
        <v>8.5</v>
      </c>
      <c r="W70">
        <v>7.0000000000000007E-2</v>
      </c>
      <c r="X70">
        <v>12.1</v>
      </c>
      <c r="Y70">
        <v>0.31</v>
      </c>
      <c r="Z70">
        <v>240</v>
      </c>
      <c r="AA70">
        <v>3</v>
      </c>
      <c r="AB70">
        <v>60</v>
      </c>
      <c r="AC70">
        <v>130</v>
      </c>
      <c r="AD70" s="6">
        <v>14</v>
      </c>
      <c r="AE70">
        <v>19</v>
      </c>
      <c r="AF70">
        <v>0.3</v>
      </c>
      <c r="AG70">
        <v>2.2999999999999998</v>
      </c>
      <c r="AH70">
        <v>0.2</v>
      </c>
      <c r="AI70">
        <v>0.5</v>
      </c>
    </row>
    <row r="71" spans="1:35" x14ac:dyDescent="0.25">
      <c r="A71">
        <v>70</v>
      </c>
      <c r="B71" t="s">
        <v>140</v>
      </c>
      <c r="C71" t="s">
        <v>84</v>
      </c>
      <c r="D71">
        <v>170</v>
      </c>
      <c r="E71">
        <v>0.4</v>
      </c>
      <c r="F71">
        <v>0.1</v>
      </c>
      <c r="G71">
        <v>0</v>
      </c>
      <c r="H71">
        <v>0.2</v>
      </c>
      <c r="I71">
        <v>3.3</v>
      </c>
      <c r="J71" s="6">
        <v>2.8</v>
      </c>
      <c r="K71">
        <v>0.5</v>
      </c>
      <c r="L71">
        <v>4</v>
      </c>
      <c r="M71">
        <v>4</v>
      </c>
      <c r="N71">
        <v>19</v>
      </c>
      <c r="O71">
        <v>10</v>
      </c>
      <c r="P71">
        <v>115</v>
      </c>
      <c r="Q71">
        <v>115</v>
      </c>
      <c r="R71">
        <v>0.14000000000000001</v>
      </c>
      <c r="S71">
        <v>0.13</v>
      </c>
      <c r="T71">
        <v>0.3</v>
      </c>
      <c r="U71">
        <v>0.59</v>
      </c>
      <c r="V71">
        <v>46.5</v>
      </c>
      <c r="W71">
        <v>0.59</v>
      </c>
      <c r="X71">
        <v>145.6</v>
      </c>
      <c r="Y71">
        <v>0.89</v>
      </c>
      <c r="Z71">
        <v>430</v>
      </c>
      <c r="AA71">
        <v>5.8</v>
      </c>
      <c r="AB71">
        <v>31</v>
      </c>
      <c r="AC71">
        <v>31</v>
      </c>
      <c r="AD71" s="6">
        <v>21</v>
      </c>
      <c r="AE71">
        <v>78</v>
      </c>
      <c r="AF71">
        <v>0.6</v>
      </c>
      <c r="AG71">
        <v>0.7</v>
      </c>
      <c r="AH71">
        <v>0.4</v>
      </c>
      <c r="AI71">
        <v>3.2</v>
      </c>
    </row>
    <row r="72" spans="1:35" x14ac:dyDescent="0.25">
      <c r="A72">
        <v>71</v>
      </c>
      <c r="B72" t="s">
        <v>141</v>
      </c>
      <c r="C72" t="s">
        <v>84</v>
      </c>
      <c r="D72">
        <v>260</v>
      </c>
      <c r="E72">
        <v>2.5</v>
      </c>
      <c r="F72">
        <v>0.5</v>
      </c>
      <c r="G72">
        <v>0.1</v>
      </c>
      <c r="H72">
        <v>1.4</v>
      </c>
      <c r="I72">
        <v>7.7</v>
      </c>
      <c r="J72" s="6">
        <v>7.6</v>
      </c>
      <c r="K72">
        <v>0.1</v>
      </c>
      <c r="L72">
        <v>2.9</v>
      </c>
      <c r="M72">
        <v>0.8</v>
      </c>
      <c r="N72">
        <v>92</v>
      </c>
      <c r="O72">
        <v>46</v>
      </c>
      <c r="P72">
        <v>550</v>
      </c>
      <c r="Q72">
        <v>550</v>
      </c>
      <c r="R72">
        <v>0.09</v>
      </c>
      <c r="S72">
        <v>0.12</v>
      </c>
      <c r="T72">
        <v>0.05</v>
      </c>
      <c r="U72">
        <v>0.17</v>
      </c>
      <c r="V72">
        <v>0</v>
      </c>
      <c r="W72">
        <v>0</v>
      </c>
      <c r="X72">
        <v>16.5</v>
      </c>
      <c r="Y72">
        <v>0.86</v>
      </c>
      <c r="Z72">
        <v>160</v>
      </c>
      <c r="AA72">
        <v>8</v>
      </c>
      <c r="AB72">
        <v>33</v>
      </c>
      <c r="AC72">
        <v>210</v>
      </c>
      <c r="AD72" s="6">
        <v>36</v>
      </c>
      <c r="AE72">
        <v>12</v>
      </c>
      <c r="AF72">
        <v>4.8</v>
      </c>
      <c r="AG72">
        <v>1</v>
      </c>
      <c r="AH72">
        <v>0.5</v>
      </c>
      <c r="AI72">
        <v>0</v>
      </c>
    </row>
    <row r="73" spans="1:35" x14ac:dyDescent="0.25">
      <c r="A73">
        <v>72</v>
      </c>
      <c r="B73" t="s">
        <v>142</v>
      </c>
      <c r="C73" t="s">
        <v>84</v>
      </c>
      <c r="D73">
        <v>121</v>
      </c>
      <c r="E73">
        <v>0.2</v>
      </c>
      <c r="F73">
        <v>0</v>
      </c>
      <c r="G73">
        <v>0</v>
      </c>
      <c r="H73">
        <v>0.1</v>
      </c>
      <c r="I73">
        <v>4.3</v>
      </c>
      <c r="J73" s="6">
        <v>3.9</v>
      </c>
      <c r="K73">
        <v>0.1</v>
      </c>
      <c r="L73">
        <v>2.6</v>
      </c>
      <c r="M73">
        <v>1.1000000000000001</v>
      </c>
      <c r="N73">
        <v>3</v>
      </c>
      <c r="O73">
        <v>1</v>
      </c>
      <c r="P73">
        <v>16</v>
      </c>
      <c r="Q73">
        <v>16</v>
      </c>
      <c r="R73">
        <v>0.08</v>
      </c>
      <c r="S73">
        <v>0.04</v>
      </c>
      <c r="T73">
        <v>0.17</v>
      </c>
      <c r="U73">
        <v>0.12</v>
      </c>
      <c r="V73">
        <v>23.2</v>
      </c>
      <c r="W73">
        <v>0.37</v>
      </c>
      <c r="X73">
        <v>52.7</v>
      </c>
      <c r="Y73">
        <v>0.49</v>
      </c>
      <c r="Z73">
        <v>280</v>
      </c>
      <c r="AA73">
        <v>5.8</v>
      </c>
      <c r="AB73">
        <v>21</v>
      </c>
      <c r="AC73">
        <v>34</v>
      </c>
      <c r="AD73" s="6">
        <v>11</v>
      </c>
      <c r="AE73">
        <v>28</v>
      </c>
      <c r="AF73">
        <v>0.4</v>
      </c>
      <c r="AG73">
        <v>2.9</v>
      </c>
      <c r="AH73">
        <v>0.2</v>
      </c>
      <c r="AI73">
        <v>0.5</v>
      </c>
    </row>
    <row r="74" spans="1:35" x14ac:dyDescent="0.25">
      <c r="A74">
        <v>73</v>
      </c>
      <c r="B74" t="s">
        <v>143</v>
      </c>
      <c r="C74" t="s">
        <v>84</v>
      </c>
      <c r="D74">
        <v>119</v>
      </c>
      <c r="E74">
        <v>0.7</v>
      </c>
      <c r="F74">
        <v>0.1</v>
      </c>
      <c r="G74">
        <v>0.1</v>
      </c>
      <c r="H74">
        <v>0.3</v>
      </c>
      <c r="I74">
        <v>2.1</v>
      </c>
      <c r="J74" s="6">
        <v>2.1</v>
      </c>
      <c r="K74">
        <v>0</v>
      </c>
      <c r="L74">
        <v>1.6</v>
      </c>
      <c r="M74">
        <v>2.6</v>
      </c>
      <c r="N74">
        <v>397</v>
      </c>
      <c r="O74">
        <v>198</v>
      </c>
      <c r="P74">
        <v>2381</v>
      </c>
      <c r="Q74">
        <v>2244</v>
      </c>
      <c r="R74">
        <v>0.08</v>
      </c>
      <c r="S74">
        <v>0.09</v>
      </c>
      <c r="T74">
        <v>0.14000000000000001</v>
      </c>
      <c r="U74">
        <v>0.3</v>
      </c>
      <c r="V74">
        <v>97</v>
      </c>
      <c r="W74">
        <v>0.23</v>
      </c>
      <c r="X74">
        <v>62.5</v>
      </c>
      <c r="Y74">
        <v>0.43</v>
      </c>
      <c r="Z74">
        <v>370</v>
      </c>
      <c r="AA74">
        <v>27</v>
      </c>
      <c r="AB74">
        <v>0</v>
      </c>
      <c r="AC74">
        <v>160</v>
      </c>
      <c r="AD74" s="6">
        <v>0</v>
      </c>
      <c r="AE74">
        <v>52</v>
      </c>
      <c r="AF74">
        <v>1.5</v>
      </c>
      <c r="AG74">
        <v>0</v>
      </c>
      <c r="AH74">
        <v>0.4</v>
      </c>
      <c r="AI74">
        <v>0</v>
      </c>
    </row>
    <row r="75" spans="1:35" x14ac:dyDescent="0.25">
      <c r="A75">
        <v>74</v>
      </c>
      <c r="B75" t="s">
        <v>144</v>
      </c>
      <c r="C75" t="s">
        <v>84</v>
      </c>
      <c r="D75">
        <v>246</v>
      </c>
      <c r="E75">
        <v>2.1</v>
      </c>
      <c r="F75">
        <v>1.1000000000000001</v>
      </c>
      <c r="G75">
        <v>0.3</v>
      </c>
      <c r="H75">
        <v>0.3</v>
      </c>
      <c r="I75">
        <v>6.9</v>
      </c>
      <c r="J75" s="6">
        <v>6.8</v>
      </c>
      <c r="K75">
        <v>0.1</v>
      </c>
      <c r="L75">
        <v>2.9</v>
      </c>
      <c r="M75">
        <v>1.7</v>
      </c>
      <c r="N75">
        <v>471</v>
      </c>
      <c r="O75">
        <v>235</v>
      </c>
      <c r="P75">
        <v>2824</v>
      </c>
      <c r="Q75">
        <v>2780</v>
      </c>
      <c r="R75">
        <v>0.12</v>
      </c>
      <c r="S75">
        <v>0.06</v>
      </c>
      <c r="T75">
        <v>0.54</v>
      </c>
      <c r="U75">
        <v>0.92</v>
      </c>
      <c r="V75">
        <v>0</v>
      </c>
      <c r="W75">
        <v>0</v>
      </c>
      <c r="X75">
        <v>0</v>
      </c>
      <c r="Y75">
        <v>0.75</v>
      </c>
      <c r="Z75">
        <v>170</v>
      </c>
      <c r="AA75">
        <v>2</v>
      </c>
      <c r="AB75">
        <v>32</v>
      </c>
      <c r="AC75">
        <v>270</v>
      </c>
      <c r="AD75" s="6">
        <v>69</v>
      </c>
      <c r="AE75">
        <v>15</v>
      </c>
      <c r="AF75">
        <v>4.5</v>
      </c>
      <c r="AG75">
        <v>1</v>
      </c>
      <c r="AH75">
        <v>0.8</v>
      </c>
      <c r="AI75">
        <v>0</v>
      </c>
    </row>
    <row r="76" spans="1:35" x14ac:dyDescent="0.25">
      <c r="A76" s="6">
        <v>75</v>
      </c>
      <c r="B76" s="6" t="s">
        <v>35</v>
      </c>
      <c r="C76" t="s">
        <v>84</v>
      </c>
      <c r="D76">
        <v>124</v>
      </c>
      <c r="E76">
        <v>0.6</v>
      </c>
      <c r="F76">
        <v>0.1</v>
      </c>
      <c r="G76">
        <v>0.1</v>
      </c>
      <c r="H76">
        <v>0.2</v>
      </c>
      <c r="I76">
        <v>1.9</v>
      </c>
      <c r="J76" s="6">
        <v>1.9</v>
      </c>
      <c r="K76">
        <v>0</v>
      </c>
      <c r="L76">
        <v>2.2999999999999998</v>
      </c>
      <c r="M76">
        <v>3</v>
      </c>
      <c r="N76">
        <v>435</v>
      </c>
      <c r="O76">
        <v>218</v>
      </c>
      <c r="P76">
        <v>2612</v>
      </c>
      <c r="Q76">
        <v>2612</v>
      </c>
      <c r="R76">
        <v>0.08</v>
      </c>
      <c r="S76">
        <v>0.11</v>
      </c>
      <c r="T76">
        <v>0.13</v>
      </c>
      <c r="U76">
        <v>0.7</v>
      </c>
      <c r="V76">
        <v>130</v>
      </c>
      <c r="W76">
        <v>0.3</v>
      </c>
      <c r="X76">
        <v>60</v>
      </c>
      <c r="Y76">
        <v>1.6</v>
      </c>
      <c r="Z76">
        <v>280</v>
      </c>
      <c r="AA76">
        <v>3</v>
      </c>
      <c r="AB76">
        <v>74</v>
      </c>
      <c r="AC76">
        <v>86</v>
      </c>
      <c r="AD76" s="6">
        <v>40</v>
      </c>
      <c r="AE76">
        <v>54</v>
      </c>
      <c r="AF76">
        <v>1.5</v>
      </c>
      <c r="AG76">
        <v>4.2</v>
      </c>
      <c r="AH76">
        <v>0.5</v>
      </c>
      <c r="AI76">
        <v>0</v>
      </c>
    </row>
    <row r="77" spans="1:35" x14ac:dyDescent="0.25">
      <c r="A77">
        <v>76</v>
      </c>
      <c r="B77" t="s">
        <v>19</v>
      </c>
      <c r="C77" t="s">
        <v>84</v>
      </c>
      <c r="D77">
        <v>222</v>
      </c>
      <c r="E77">
        <v>0.4</v>
      </c>
      <c r="F77">
        <v>0.1</v>
      </c>
      <c r="G77">
        <v>0</v>
      </c>
      <c r="H77">
        <v>0.2</v>
      </c>
      <c r="I77">
        <v>2.1</v>
      </c>
      <c r="J77" s="6">
        <v>2</v>
      </c>
      <c r="K77">
        <v>0.1</v>
      </c>
      <c r="L77">
        <v>18.3</v>
      </c>
      <c r="M77">
        <v>1.4</v>
      </c>
      <c r="N77">
        <v>9</v>
      </c>
      <c r="O77">
        <v>4</v>
      </c>
      <c r="P77">
        <v>52</v>
      </c>
      <c r="Q77">
        <v>52</v>
      </c>
      <c r="R77">
        <v>0.14000000000000001</v>
      </c>
      <c r="S77">
        <v>0.04</v>
      </c>
      <c r="T77">
        <v>0.09</v>
      </c>
      <c r="U77">
        <v>0.35</v>
      </c>
      <c r="V77">
        <v>35.4</v>
      </c>
      <c r="W77">
        <v>0.17</v>
      </c>
      <c r="X77">
        <v>4.9000000000000004</v>
      </c>
      <c r="Y77">
        <v>0.8</v>
      </c>
      <c r="Z77">
        <v>240</v>
      </c>
      <c r="AA77">
        <v>3</v>
      </c>
      <c r="AB77">
        <v>31</v>
      </c>
      <c r="AC77">
        <v>33</v>
      </c>
      <c r="AD77" s="6">
        <v>24</v>
      </c>
      <c r="AE77">
        <v>82</v>
      </c>
      <c r="AF77">
        <v>1.2</v>
      </c>
      <c r="AG77">
        <v>2.5</v>
      </c>
      <c r="AH77">
        <v>0.4</v>
      </c>
      <c r="AI77">
        <v>0.2</v>
      </c>
    </row>
    <row r="78" spans="1:35" x14ac:dyDescent="0.25">
      <c r="A78">
        <v>77</v>
      </c>
      <c r="B78" t="s">
        <v>145</v>
      </c>
      <c r="C78" t="s">
        <v>84</v>
      </c>
      <c r="D78">
        <v>231</v>
      </c>
      <c r="E78">
        <v>1</v>
      </c>
      <c r="F78">
        <v>0.1</v>
      </c>
      <c r="G78">
        <v>0.1</v>
      </c>
      <c r="H78">
        <v>0.7</v>
      </c>
      <c r="I78">
        <v>4.7</v>
      </c>
      <c r="J78" s="6">
        <v>4.5999999999999996</v>
      </c>
      <c r="K78">
        <v>0</v>
      </c>
      <c r="L78">
        <v>2.4</v>
      </c>
      <c r="M78">
        <v>5.5</v>
      </c>
      <c r="N78">
        <v>7</v>
      </c>
      <c r="O78">
        <v>3</v>
      </c>
      <c r="P78">
        <v>42</v>
      </c>
      <c r="Q78">
        <v>42</v>
      </c>
      <c r="R78">
        <v>0.08</v>
      </c>
      <c r="S78">
        <v>0.16</v>
      </c>
      <c r="T78">
        <v>0.09</v>
      </c>
      <c r="U78">
        <v>1.5</v>
      </c>
      <c r="V78">
        <v>160</v>
      </c>
      <c r="W78">
        <v>0.49</v>
      </c>
      <c r="X78">
        <v>9.6</v>
      </c>
      <c r="Y78">
        <v>0.1</v>
      </c>
      <c r="Z78">
        <v>240</v>
      </c>
      <c r="AA78">
        <v>30</v>
      </c>
      <c r="AB78">
        <v>47</v>
      </c>
      <c r="AC78">
        <v>32</v>
      </c>
      <c r="AD78" s="6">
        <v>19</v>
      </c>
      <c r="AE78">
        <v>75</v>
      </c>
      <c r="AF78">
        <v>0.9</v>
      </c>
      <c r="AG78">
        <v>2</v>
      </c>
      <c r="AH78">
        <v>1</v>
      </c>
      <c r="AI78">
        <v>0</v>
      </c>
    </row>
    <row r="79" spans="1:35" x14ac:dyDescent="0.25">
      <c r="A79">
        <v>78</v>
      </c>
      <c r="B79" t="s">
        <v>146</v>
      </c>
      <c r="C79" t="s">
        <v>84</v>
      </c>
      <c r="D79">
        <v>115</v>
      </c>
      <c r="E79">
        <v>0.2</v>
      </c>
      <c r="F79">
        <v>0</v>
      </c>
      <c r="G79">
        <v>0</v>
      </c>
      <c r="H79">
        <v>0</v>
      </c>
      <c r="I79">
        <v>3.3</v>
      </c>
      <c r="J79" s="6">
        <v>3.2</v>
      </c>
      <c r="K79">
        <v>0.1</v>
      </c>
      <c r="L79">
        <v>1.7</v>
      </c>
      <c r="M79">
        <v>2.2000000000000002</v>
      </c>
      <c r="N79">
        <v>26</v>
      </c>
      <c r="O79">
        <v>13</v>
      </c>
      <c r="P79">
        <v>156</v>
      </c>
      <c r="Q79">
        <v>148</v>
      </c>
      <c r="R79">
        <v>0.12</v>
      </c>
      <c r="S79">
        <v>0.13</v>
      </c>
      <c r="T79">
        <v>7.0000000000000007E-2</v>
      </c>
      <c r="U79">
        <v>1.1000000000000001</v>
      </c>
      <c r="V79">
        <v>76.3</v>
      </c>
      <c r="W79">
        <v>0.19</v>
      </c>
      <c r="X79">
        <v>14.9</v>
      </c>
      <c r="Y79">
        <v>1.1299999999999999</v>
      </c>
      <c r="Z79">
        <v>220</v>
      </c>
      <c r="AA79">
        <v>1.6</v>
      </c>
      <c r="AB79">
        <v>60</v>
      </c>
      <c r="AC79">
        <v>16</v>
      </c>
      <c r="AD79" s="6">
        <v>12</v>
      </c>
      <c r="AE79">
        <v>49</v>
      </c>
      <c r="AF79">
        <v>0.4</v>
      </c>
      <c r="AG79">
        <v>7</v>
      </c>
      <c r="AH79">
        <v>0.5</v>
      </c>
      <c r="AI79">
        <v>1.1000000000000001</v>
      </c>
    </row>
    <row r="80" spans="1:35" x14ac:dyDescent="0.25">
      <c r="A80">
        <v>79</v>
      </c>
      <c r="B80" t="s">
        <v>43</v>
      </c>
      <c r="C80" t="s">
        <v>84</v>
      </c>
      <c r="D80">
        <v>104</v>
      </c>
      <c r="E80">
        <v>0.6</v>
      </c>
      <c r="F80">
        <v>0.1</v>
      </c>
      <c r="G80">
        <v>0</v>
      </c>
      <c r="H80">
        <v>0.4</v>
      </c>
      <c r="I80">
        <v>1.3</v>
      </c>
      <c r="J80" s="6">
        <v>0.1</v>
      </c>
      <c r="K80">
        <v>0.1</v>
      </c>
      <c r="L80">
        <v>1.9</v>
      </c>
      <c r="M80">
        <v>2.6</v>
      </c>
      <c r="N80">
        <v>568</v>
      </c>
      <c r="O80">
        <v>284</v>
      </c>
      <c r="P80">
        <v>3406</v>
      </c>
      <c r="Q80">
        <v>3304</v>
      </c>
      <c r="R80">
        <v>7.0000000000000007E-2</v>
      </c>
      <c r="S80">
        <v>0.2</v>
      </c>
      <c r="T80">
        <v>0.21</v>
      </c>
      <c r="U80">
        <v>0.62</v>
      </c>
      <c r="V80">
        <v>94.4</v>
      </c>
      <c r="W80">
        <v>0.23</v>
      </c>
      <c r="X80">
        <v>51</v>
      </c>
      <c r="Y80">
        <v>1.3</v>
      </c>
      <c r="Z80">
        <v>590</v>
      </c>
      <c r="AA80">
        <v>69</v>
      </c>
      <c r="AB80">
        <v>100</v>
      </c>
      <c r="AC80">
        <v>100</v>
      </c>
      <c r="AD80" s="6">
        <v>89</v>
      </c>
      <c r="AE80">
        <v>46</v>
      </c>
      <c r="AF80">
        <v>1.8</v>
      </c>
      <c r="AG80">
        <v>12</v>
      </c>
      <c r="AH80">
        <v>0.6</v>
      </c>
      <c r="AI80">
        <v>0.4</v>
      </c>
    </row>
    <row r="81" spans="1:35" x14ac:dyDescent="0.25">
      <c r="A81" s="6">
        <v>80</v>
      </c>
      <c r="B81" s="6" t="s">
        <v>14</v>
      </c>
      <c r="C81" t="s">
        <v>83</v>
      </c>
      <c r="D81">
        <v>163</v>
      </c>
      <c r="E81">
        <v>0.2</v>
      </c>
      <c r="F81">
        <v>0</v>
      </c>
      <c r="G81">
        <v>0</v>
      </c>
      <c r="H81">
        <v>0.1</v>
      </c>
      <c r="I81">
        <v>7.1</v>
      </c>
      <c r="J81" s="6">
        <v>7.1</v>
      </c>
      <c r="K81">
        <v>0</v>
      </c>
      <c r="L81">
        <v>3</v>
      </c>
      <c r="M81">
        <v>0.8</v>
      </c>
      <c r="N81">
        <v>12</v>
      </c>
      <c r="O81">
        <v>6</v>
      </c>
      <c r="P81">
        <v>74</v>
      </c>
      <c r="Q81">
        <v>70</v>
      </c>
      <c r="R81">
        <v>0.02</v>
      </c>
      <c r="S81">
        <v>0.02</v>
      </c>
      <c r="T81">
        <v>0.02</v>
      </c>
      <c r="U81">
        <v>0.28000000000000003</v>
      </c>
      <c r="V81">
        <v>16</v>
      </c>
      <c r="W81">
        <v>0.19</v>
      </c>
      <c r="X81">
        <v>40.299999999999997</v>
      </c>
      <c r="Y81">
        <v>0.61</v>
      </c>
      <c r="Z81">
        <v>200</v>
      </c>
      <c r="AA81">
        <v>2</v>
      </c>
      <c r="AB81">
        <v>0.9</v>
      </c>
      <c r="AC81">
        <v>29</v>
      </c>
      <c r="AD81" s="6">
        <v>15</v>
      </c>
      <c r="AE81">
        <v>30</v>
      </c>
      <c r="AF81">
        <v>0.6</v>
      </c>
      <c r="AG81">
        <v>1</v>
      </c>
      <c r="AH81">
        <v>0.2</v>
      </c>
      <c r="AI81">
        <v>1.3</v>
      </c>
    </row>
    <row r="82" spans="1:35" x14ac:dyDescent="0.25">
      <c r="A82">
        <v>81</v>
      </c>
      <c r="B82" t="s">
        <v>147</v>
      </c>
      <c r="C82" t="s">
        <v>84</v>
      </c>
      <c r="D82">
        <v>84</v>
      </c>
      <c r="E82">
        <v>0.4</v>
      </c>
      <c r="F82">
        <v>0</v>
      </c>
      <c r="G82">
        <v>0</v>
      </c>
      <c r="H82">
        <v>0</v>
      </c>
      <c r="I82">
        <v>2.4</v>
      </c>
      <c r="J82" s="6">
        <v>1.3</v>
      </c>
      <c r="K82">
        <v>0.5</v>
      </c>
      <c r="L82">
        <v>2.2000000000000002</v>
      </c>
      <c r="M82">
        <v>0.6</v>
      </c>
      <c r="N82">
        <v>10</v>
      </c>
      <c r="O82">
        <v>5</v>
      </c>
      <c r="P82">
        <v>63</v>
      </c>
      <c r="Q82">
        <v>63</v>
      </c>
      <c r="R82">
        <v>0.03</v>
      </c>
      <c r="S82">
        <v>0.08</v>
      </c>
      <c r="T82">
        <v>0.06</v>
      </c>
      <c r="U82">
        <v>0.55000000000000004</v>
      </c>
      <c r="V82">
        <v>56.8</v>
      </c>
      <c r="W82">
        <v>0.27</v>
      </c>
      <c r="X82">
        <v>9.8000000000000007</v>
      </c>
      <c r="Y82">
        <v>0.06</v>
      </c>
      <c r="Z82">
        <v>390</v>
      </c>
      <c r="AA82">
        <v>79</v>
      </c>
      <c r="AB82">
        <v>220</v>
      </c>
      <c r="AC82">
        <v>46</v>
      </c>
      <c r="AD82" s="6">
        <v>11</v>
      </c>
      <c r="AE82">
        <v>24</v>
      </c>
      <c r="AF82">
        <v>0.1</v>
      </c>
      <c r="AG82">
        <v>1</v>
      </c>
      <c r="AH82">
        <v>0.1</v>
      </c>
      <c r="AI82">
        <v>0</v>
      </c>
    </row>
    <row r="83" spans="1:35" x14ac:dyDescent="0.25">
      <c r="A83">
        <v>82</v>
      </c>
      <c r="B83" t="s">
        <v>148</v>
      </c>
      <c r="C83" t="s">
        <v>84</v>
      </c>
      <c r="D83">
        <v>164</v>
      </c>
      <c r="E83">
        <v>0.4</v>
      </c>
      <c r="F83">
        <v>0.1</v>
      </c>
      <c r="G83">
        <v>0</v>
      </c>
      <c r="H83">
        <v>0.2</v>
      </c>
      <c r="I83">
        <v>0.5</v>
      </c>
      <c r="J83" s="6">
        <v>0.1</v>
      </c>
      <c r="K83">
        <v>0</v>
      </c>
      <c r="L83">
        <v>6</v>
      </c>
      <c r="M83">
        <v>5.4</v>
      </c>
      <c r="N83">
        <v>0</v>
      </c>
      <c r="O83">
        <v>0</v>
      </c>
      <c r="P83">
        <v>2</v>
      </c>
      <c r="Q83">
        <v>2</v>
      </c>
      <c r="R83">
        <v>0.32</v>
      </c>
      <c r="S83">
        <v>1.02</v>
      </c>
      <c r="T83">
        <v>0.03</v>
      </c>
      <c r="U83">
        <v>14.64</v>
      </c>
      <c r="V83">
        <v>25</v>
      </c>
      <c r="W83">
        <v>2.7</v>
      </c>
      <c r="X83">
        <v>1.9</v>
      </c>
      <c r="Y83">
        <v>0.16</v>
      </c>
      <c r="Z83">
        <v>340</v>
      </c>
      <c r="AA83">
        <v>6</v>
      </c>
      <c r="AB83">
        <v>30</v>
      </c>
      <c r="AC83">
        <v>4.2</v>
      </c>
      <c r="AD83" s="6">
        <v>12</v>
      </c>
      <c r="AE83">
        <v>85</v>
      </c>
      <c r="AF83">
        <v>1</v>
      </c>
      <c r="AG83">
        <v>3.6</v>
      </c>
      <c r="AH83">
        <v>1.5</v>
      </c>
      <c r="AI83">
        <v>0</v>
      </c>
    </row>
    <row r="84" spans="1:35" x14ac:dyDescent="0.25">
      <c r="A84">
        <v>83</v>
      </c>
      <c r="B84" t="s">
        <v>149</v>
      </c>
      <c r="C84" t="s">
        <v>84</v>
      </c>
      <c r="D84">
        <v>219</v>
      </c>
      <c r="E84">
        <v>1.2</v>
      </c>
      <c r="F84">
        <v>0.6</v>
      </c>
      <c r="G84">
        <v>0.1</v>
      </c>
      <c r="H84">
        <v>0.3</v>
      </c>
      <c r="I84">
        <v>7.3</v>
      </c>
      <c r="J84" s="6">
        <v>7.2</v>
      </c>
      <c r="K84">
        <v>0.1</v>
      </c>
      <c r="L84">
        <v>3</v>
      </c>
      <c r="M84">
        <v>1.5</v>
      </c>
      <c r="N84">
        <v>475</v>
      </c>
      <c r="O84">
        <v>238</v>
      </c>
      <c r="P84">
        <v>2851</v>
      </c>
      <c r="Q84">
        <v>2851</v>
      </c>
      <c r="R84">
        <v>0.08</v>
      </c>
      <c r="S84">
        <v>7.0000000000000007E-2</v>
      </c>
      <c r="T84">
        <v>0.15</v>
      </c>
      <c r="U84">
        <v>0.8</v>
      </c>
      <c r="V84">
        <v>19.5</v>
      </c>
      <c r="W84">
        <v>0</v>
      </c>
      <c r="X84">
        <v>0</v>
      </c>
      <c r="Y84">
        <v>0.8</v>
      </c>
      <c r="Z84">
        <v>130</v>
      </c>
      <c r="AA84">
        <v>9</v>
      </c>
      <c r="AB84">
        <v>32</v>
      </c>
      <c r="AC84">
        <v>310</v>
      </c>
      <c r="AD84" s="6">
        <v>36</v>
      </c>
      <c r="AE84">
        <v>32</v>
      </c>
      <c r="AF84">
        <v>20</v>
      </c>
      <c r="AG84">
        <v>1</v>
      </c>
      <c r="AH84">
        <v>1</v>
      </c>
      <c r="AI84">
        <v>0</v>
      </c>
    </row>
    <row r="85" spans="1:35" x14ac:dyDescent="0.25">
      <c r="A85">
        <v>84</v>
      </c>
      <c r="B85" t="s">
        <v>150</v>
      </c>
      <c r="C85" t="s">
        <v>84</v>
      </c>
      <c r="D85">
        <v>90</v>
      </c>
      <c r="E85">
        <v>0.3</v>
      </c>
      <c r="F85">
        <v>0.1</v>
      </c>
      <c r="G85">
        <v>0</v>
      </c>
      <c r="H85">
        <v>0.1</v>
      </c>
      <c r="I85">
        <v>3.3</v>
      </c>
      <c r="J85" s="6">
        <v>3.2</v>
      </c>
      <c r="K85">
        <v>0</v>
      </c>
      <c r="L85">
        <v>1.2</v>
      </c>
      <c r="M85">
        <v>0.9</v>
      </c>
      <c r="N85">
        <v>78</v>
      </c>
      <c r="O85">
        <v>39</v>
      </c>
      <c r="P85">
        <v>469</v>
      </c>
      <c r="Q85">
        <v>469</v>
      </c>
      <c r="R85">
        <v>0.05</v>
      </c>
      <c r="S85">
        <v>0.02</v>
      </c>
      <c r="T85">
        <v>0.09</v>
      </c>
      <c r="U85">
        <v>0.65</v>
      </c>
      <c r="V85">
        <v>18.100000000000001</v>
      </c>
      <c r="W85">
        <v>0.06</v>
      </c>
      <c r="X85">
        <v>25.5</v>
      </c>
      <c r="Y85">
        <v>0.42</v>
      </c>
      <c r="Z85">
        <v>240</v>
      </c>
      <c r="AA85">
        <v>2.4</v>
      </c>
      <c r="AB85">
        <v>30</v>
      </c>
      <c r="AC85">
        <v>8.3000000000000007</v>
      </c>
      <c r="AD85" s="6">
        <v>8.1999999999999993</v>
      </c>
      <c r="AE85">
        <v>22</v>
      </c>
      <c r="AF85">
        <v>0.1</v>
      </c>
      <c r="AG85">
        <v>0.6</v>
      </c>
      <c r="AH85">
        <v>0.1</v>
      </c>
      <c r="AI85">
        <v>0.1</v>
      </c>
    </row>
    <row r="86" spans="1:35" x14ac:dyDescent="0.25">
      <c r="A86">
        <v>85</v>
      </c>
      <c r="B86" t="s">
        <v>151</v>
      </c>
      <c r="C86" t="s">
        <v>84</v>
      </c>
      <c r="D86">
        <v>221</v>
      </c>
      <c r="E86">
        <v>0.4</v>
      </c>
      <c r="F86">
        <v>0.1</v>
      </c>
      <c r="G86">
        <v>0</v>
      </c>
      <c r="H86">
        <v>0.2</v>
      </c>
      <c r="I86">
        <v>4</v>
      </c>
      <c r="J86" s="6">
        <v>4</v>
      </c>
      <c r="K86">
        <v>0</v>
      </c>
      <c r="L86">
        <v>12.1</v>
      </c>
      <c r="M86">
        <v>2.4</v>
      </c>
      <c r="N86">
        <v>7</v>
      </c>
      <c r="O86">
        <v>4</v>
      </c>
      <c r="P86">
        <v>42</v>
      </c>
      <c r="Q86">
        <v>42</v>
      </c>
      <c r="R86">
        <v>0.1</v>
      </c>
      <c r="S86">
        <v>0.06</v>
      </c>
      <c r="T86">
        <v>0.08</v>
      </c>
      <c r="U86">
        <v>1.3</v>
      </c>
      <c r="V86">
        <v>34</v>
      </c>
      <c r="W86">
        <v>0.44</v>
      </c>
      <c r="X86">
        <v>7.3</v>
      </c>
      <c r="Y86">
        <v>0.15</v>
      </c>
      <c r="Z86">
        <v>530</v>
      </c>
      <c r="AA86">
        <v>1.7</v>
      </c>
      <c r="AB86">
        <v>49</v>
      </c>
      <c r="AC86">
        <v>24</v>
      </c>
      <c r="AD86" s="6">
        <v>16</v>
      </c>
      <c r="AE86">
        <v>68</v>
      </c>
      <c r="AF86">
        <v>0.3</v>
      </c>
      <c r="AG86">
        <v>0.1</v>
      </c>
      <c r="AH86">
        <v>0.2</v>
      </c>
      <c r="AI86">
        <v>0.2</v>
      </c>
    </row>
    <row r="87" spans="1:35" x14ac:dyDescent="0.25">
      <c r="A87">
        <v>86</v>
      </c>
      <c r="B87" t="s">
        <v>152</v>
      </c>
      <c r="C87" t="s">
        <v>83</v>
      </c>
      <c r="D87">
        <v>292</v>
      </c>
      <c r="E87">
        <v>0.3</v>
      </c>
      <c r="F87">
        <v>0.1</v>
      </c>
      <c r="G87">
        <v>0</v>
      </c>
      <c r="H87">
        <v>0.1</v>
      </c>
      <c r="I87">
        <v>15.2</v>
      </c>
      <c r="J87" s="6">
        <v>14.6</v>
      </c>
      <c r="K87">
        <v>0</v>
      </c>
      <c r="L87">
        <v>1.5</v>
      </c>
      <c r="M87">
        <v>0.7</v>
      </c>
      <c r="N87">
        <v>1</v>
      </c>
      <c r="O87">
        <v>1</v>
      </c>
      <c r="P87">
        <v>8</v>
      </c>
      <c r="Q87">
        <v>8</v>
      </c>
      <c r="R87">
        <v>0.05</v>
      </c>
      <c r="S87">
        <v>0.01</v>
      </c>
      <c r="T87">
        <v>0.04</v>
      </c>
      <c r="U87">
        <v>0.12</v>
      </c>
      <c r="V87">
        <v>16.3</v>
      </c>
      <c r="W87">
        <v>0.05</v>
      </c>
      <c r="X87">
        <v>2.9</v>
      </c>
      <c r="Y87">
        <v>0.63</v>
      </c>
      <c r="Z87">
        <v>200</v>
      </c>
      <c r="AA87">
        <v>2</v>
      </c>
      <c r="AB87">
        <v>2</v>
      </c>
      <c r="AC87">
        <v>12</v>
      </c>
      <c r="AD87" s="6">
        <v>7.6</v>
      </c>
      <c r="AE87">
        <v>19</v>
      </c>
      <c r="AF87">
        <v>0.4</v>
      </c>
      <c r="AG87">
        <v>1</v>
      </c>
      <c r="AH87">
        <v>0</v>
      </c>
      <c r="AI87">
        <v>1.7</v>
      </c>
    </row>
    <row r="88" spans="1:35" x14ac:dyDescent="0.25">
      <c r="A88">
        <v>87</v>
      </c>
      <c r="B88" t="s">
        <v>153</v>
      </c>
      <c r="C88" t="s">
        <v>83</v>
      </c>
      <c r="D88">
        <v>158</v>
      </c>
      <c r="E88">
        <v>0</v>
      </c>
      <c r="F88">
        <v>0</v>
      </c>
      <c r="G88">
        <v>0</v>
      </c>
      <c r="H88">
        <v>0</v>
      </c>
      <c r="I88">
        <v>8.3000000000000007</v>
      </c>
      <c r="J88" s="6">
        <v>7.9</v>
      </c>
      <c r="K88">
        <v>0</v>
      </c>
      <c r="L88">
        <v>0.5</v>
      </c>
      <c r="M88">
        <v>0.7</v>
      </c>
      <c r="N88">
        <v>69</v>
      </c>
      <c r="O88">
        <v>35</v>
      </c>
      <c r="P88">
        <v>416</v>
      </c>
      <c r="Q88">
        <v>416</v>
      </c>
      <c r="R88">
        <v>0.03</v>
      </c>
      <c r="S88">
        <v>0.02</v>
      </c>
      <c r="T88">
        <v>0.06</v>
      </c>
      <c r="U88">
        <v>0.26</v>
      </c>
      <c r="V88">
        <v>20.399999999999999</v>
      </c>
      <c r="W88">
        <v>0.18</v>
      </c>
      <c r="X88">
        <v>5.8</v>
      </c>
      <c r="Y88">
        <v>0</v>
      </c>
      <c r="Z88">
        <v>100</v>
      </c>
      <c r="AA88">
        <v>0</v>
      </c>
      <c r="AB88">
        <v>8.3000000000000007</v>
      </c>
      <c r="AC88">
        <v>6</v>
      </c>
      <c r="AD88" s="6">
        <v>11</v>
      </c>
      <c r="AE88">
        <v>9.6999999999999993</v>
      </c>
      <c r="AF88">
        <v>0.2</v>
      </c>
      <c r="AG88">
        <v>10</v>
      </c>
      <c r="AH88">
        <v>0.1</v>
      </c>
      <c r="AI88">
        <v>0.4</v>
      </c>
    </row>
    <row r="89" spans="1:35" x14ac:dyDescent="0.25">
      <c r="A89">
        <v>88</v>
      </c>
      <c r="B89" t="s">
        <v>154</v>
      </c>
      <c r="C89" t="s">
        <v>84</v>
      </c>
      <c r="D89">
        <v>152</v>
      </c>
      <c r="E89">
        <v>0.6</v>
      </c>
      <c r="F89">
        <v>0.3</v>
      </c>
      <c r="G89">
        <v>0.2</v>
      </c>
      <c r="H89">
        <v>0.1</v>
      </c>
      <c r="I89">
        <v>4.5999999999999996</v>
      </c>
      <c r="J89" s="6">
        <v>4.2</v>
      </c>
      <c r="K89">
        <v>0</v>
      </c>
      <c r="L89">
        <v>3.5</v>
      </c>
      <c r="M89">
        <v>1.4</v>
      </c>
      <c r="N89">
        <v>4</v>
      </c>
      <c r="O89">
        <v>2</v>
      </c>
      <c r="P89">
        <v>24</v>
      </c>
      <c r="Q89">
        <v>24</v>
      </c>
      <c r="R89">
        <v>0.05</v>
      </c>
      <c r="S89">
        <v>0.05</v>
      </c>
      <c r="T89">
        <v>0.17</v>
      </c>
      <c r="U89">
        <v>0.2</v>
      </c>
      <c r="V89">
        <v>45.4</v>
      </c>
      <c r="W89">
        <v>0.21</v>
      </c>
      <c r="X89">
        <v>56.3</v>
      </c>
      <c r="Y89">
        <v>1.7</v>
      </c>
      <c r="Z89">
        <v>230</v>
      </c>
      <c r="AA89">
        <v>4.8</v>
      </c>
      <c r="AB89">
        <v>25</v>
      </c>
      <c r="AC89">
        <v>52</v>
      </c>
      <c r="AD89" s="6">
        <v>9.6999999999999993</v>
      </c>
      <c r="AE89">
        <v>29</v>
      </c>
      <c r="AF89">
        <v>0.3</v>
      </c>
      <c r="AG89">
        <v>3</v>
      </c>
      <c r="AH89">
        <v>0.1</v>
      </c>
      <c r="AI89">
        <v>4.4000000000000004</v>
      </c>
    </row>
    <row r="90" spans="1:35" x14ac:dyDescent="0.25">
      <c r="A90">
        <v>89</v>
      </c>
      <c r="B90" t="s">
        <v>155</v>
      </c>
      <c r="C90" t="s">
        <v>84</v>
      </c>
      <c r="D90">
        <v>129</v>
      </c>
      <c r="E90">
        <v>0.3</v>
      </c>
      <c r="F90">
        <v>0</v>
      </c>
      <c r="G90">
        <v>0</v>
      </c>
      <c r="H90">
        <v>0.2</v>
      </c>
      <c r="I90">
        <v>2.9</v>
      </c>
      <c r="J90" s="6">
        <v>2.8</v>
      </c>
      <c r="K90">
        <v>0.1</v>
      </c>
      <c r="L90">
        <v>2.6</v>
      </c>
      <c r="M90">
        <v>2.8</v>
      </c>
      <c r="N90">
        <v>10</v>
      </c>
      <c r="O90">
        <v>5</v>
      </c>
      <c r="P90">
        <v>58</v>
      </c>
      <c r="Q90">
        <v>58</v>
      </c>
      <c r="R90">
        <v>0.09</v>
      </c>
      <c r="S90">
        <v>0.06</v>
      </c>
      <c r="T90">
        <v>0.19</v>
      </c>
      <c r="U90">
        <v>0.33</v>
      </c>
      <c r="V90">
        <v>53.4</v>
      </c>
      <c r="W90">
        <v>0.28999999999999998</v>
      </c>
      <c r="X90">
        <v>64.599999999999994</v>
      </c>
      <c r="Y90">
        <v>2.5</v>
      </c>
      <c r="Z90">
        <v>290</v>
      </c>
      <c r="AA90">
        <v>7.2</v>
      </c>
      <c r="AB90">
        <v>27</v>
      </c>
      <c r="AC90">
        <v>50</v>
      </c>
      <c r="AD90" s="6">
        <v>15</v>
      </c>
      <c r="AE90">
        <v>48</v>
      </c>
      <c r="AF90">
        <v>0.5</v>
      </c>
      <c r="AG90">
        <v>2.6</v>
      </c>
      <c r="AH90">
        <v>0.3</v>
      </c>
      <c r="AI90">
        <v>0.1</v>
      </c>
    </row>
    <row r="91" spans="1:35" x14ac:dyDescent="0.25">
      <c r="A91">
        <v>90</v>
      </c>
      <c r="B91" t="s">
        <v>156</v>
      </c>
      <c r="C91" t="s">
        <v>83</v>
      </c>
      <c r="D91">
        <v>96</v>
      </c>
      <c r="E91">
        <v>0.5</v>
      </c>
      <c r="F91">
        <v>0.1</v>
      </c>
      <c r="G91">
        <v>0</v>
      </c>
      <c r="H91">
        <v>0.1</v>
      </c>
      <c r="I91">
        <v>2.9</v>
      </c>
      <c r="J91" s="6">
        <v>2.5</v>
      </c>
      <c r="K91">
        <v>0</v>
      </c>
      <c r="L91">
        <v>2</v>
      </c>
      <c r="M91">
        <v>0.8</v>
      </c>
      <c r="N91">
        <v>1</v>
      </c>
      <c r="O91">
        <v>1</v>
      </c>
      <c r="P91">
        <v>7</v>
      </c>
      <c r="Q91">
        <v>0</v>
      </c>
      <c r="R91">
        <v>0.05</v>
      </c>
      <c r="S91">
        <v>0.02</v>
      </c>
      <c r="T91">
        <v>0.05</v>
      </c>
      <c r="U91">
        <v>0.2</v>
      </c>
      <c r="V91">
        <v>11.3</v>
      </c>
      <c r="W91">
        <v>0.14000000000000001</v>
      </c>
      <c r="X91">
        <v>54.7</v>
      </c>
      <c r="Y91">
        <v>0.8</v>
      </c>
      <c r="Z91">
        <v>150</v>
      </c>
      <c r="AA91">
        <v>4</v>
      </c>
      <c r="AB91">
        <v>4.5</v>
      </c>
      <c r="AC91">
        <v>25</v>
      </c>
      <c r="AD91" s="6">
        <v>16</v>
      </c>
      <c r="AE91">
        <v>18</v>
      </c>
      <c r="AF91">
        <v>0.5</v>
      </c>
      <c r="AG91">
        <v>1.5</v>
      </c>
      <c r="AH91">
        <v>0.1</v>
      </c>
      <c r="AI91">
        <v>0</v>
      </c>
    </row>
    <row r="92" spans="1:35" x14ac:dyDescent="0.25">
      <c r="A92">
        <v>91</v>
      </c>
      <c r="B92" t="s">
        <v>41</v>
      </c>
      <c r="C92" t="s">
        <v>84</v>
      </c>
      <c r="D92">
        <v>80</v>
      </c>
      <c r="E92">
        <v>0.2</v>
      </c>
      <c r="F92">
        <v>0</v>
      </c>
      <c r="G92">
        <v>0</v>
      </c>
      <c r="H92">
        <v>0.1</v>
      </c>
      <c r="I92">
        <v>2</v>
      </c>
      <c r="J92" s="6">
        <v>1.9</v>
      </c>
      <c r="K92">
        <v>0.1</v>
      </c>
      <c r="L92">
        <v>1</v>
      </c>
      <c r="M92">
        <v>1.8</v>
      </c>
      <c r="N92">
        <v>25</v>
      </c>
      <c r="O92">
        <v>13</v>
      </c>
      <c r="P92">
        <v>152</v>
      </c>
      <c r="Q92">
        <v>152</v>
      </c>
      <c r="R92">
        <v>0.05</v>
      </c>
      <c r="S92">
        <v>0.04</v>
      </c>
      <c r="T92">
        <v>0.08</v>
      </c>
      <c r="U92">
        <v>0.6</v>
      </c>
      <c r="V92">
        <v>35.9</v>
      </c>
      <c r="W92">
        <v>0.2</v>
      </c>
      <c r="X92">
        <v>15.3</v>
      </c>
      <c r="Y92">
        <v>0</v>
      </c>
      <c r="Z92">
        <v>230</v>
      </c>
      <c r="AA92">
        <v>3</v>
      </c>
      <c r="AB92">
        <v>24</v>
      </c>
      <c r="AC92">
        <v>19</v>
      </c>
      <c r="AD92" s="6">
        <v>23</v>
      </c>
      <c r="AE92">
        <v>31</v>
      </c>
      <c r="AF92">
        <v>0.8</v>
      </c>
      <c r="AG92">
        <v>2.2999999999999998</v>
      </c>
      <c r="AH92">
        <v>0.2</v>
      </c>
      <c r="AI92">
        <v>0</v>
      </c>
    </row>
    <row r="93" spans="1:35" x14ac:dyDescent="0.25">
      <c r="A93">
        <v>92</v>
      </c>
      <c r="B93" t="s">
        <v>157</v>
      </c>
      <c r="C93" t="s">
        <v>84</v>
      </c>
      <c r="D93">
        <v>285</v>
      </c>
      <c r="E93">
        <v>0.2</v>
      </c>
      <c r="F93">
        <v>0</v>
      </c>
      <c r="G93">
        <v>0</v>
      </c>
      <c r="H93">
        <v>0.1</v>
      </c>
      <c r="I93">
        <v>10</v>
      </c>
      <c r="J93" s="6">
        <v>5</v>
      </c>
      <c r="K93">
        <v>5</v>
      </c>
      <c r="L93">
        <v>5</v>
      </c>
      <c r="M93">
        <v>4</v>
      </c>
      <c r="N93">
        <v>43</v>
      </c>
      <c r="O93">
        <v>22</v>
      </c>
      <c r="P93">
        <v>259</v>
      </c>
      <c r="Q93">
        <v>259</v>
      </c>
      <c r="R93">
        <v>0.16</v>
      </c>
      <c r="S93">
        <v>0.15</v>
      </c>
      <c r="T93">
        <v>0.13</v>
      </c>
      <c r="U93">
        <v>2.7</v>
      </c>
      <c r="V93">
        <v>21.6</v>
      </c>
      <c r="W93">
        <v>0.41</v>
      </c>
      <c r="X93">
        <v>37.4</v>
      </c>
      <c r="Y93">
        <v>0.5</v>
      </c>
      <c r="Z93">
        <v>300</v>
      </c>
      <c r="AA93">
        <v>4</v>
      </c>
      <c r="AB93">
        <v>30</v>
      </c>
      <c r="AC93">
        <v>20</v>
      </c>
      <c r="AD93" s="6">
        <v>30</v>
      </c>
      <c r="AE93">
        <v>80</v>
      </c>
      <c r="AF93">
        <v>2</v>
      </c>
      <c r="AG93">
        <v>4</v>
      </c>
      <c r="AH93">
        <v>0.3</v>
      </c>
      <c r="AI93">
        <v>0</v>
      </c>
    </row>
    <row r="94" spans="1:35" x14ac:dyDescent="0.25">
      <c r="A94">
        <v>93</v>
      </c>
      <c r="B94" t="s">
        <v>158</v>
      </c>
      <c r="C94" t="s">
        <v>84</v>
      </c>
      <c r="D94">
        <v>67</v>
      </c>
      <c r="E94">
        <v>0.2</v>
      </c>
      <c r="F94">
        <v>0</v>
      </c>
      <c r="G94">
        <v>0</v>
      </c>
      <c r="H94">
        <v>0.1</v>
      </c>
      <c r="I94">
        <v>1.5</v>
      </c>
      <c r="J94" s="6">
        <v>1.5</v>
      </c>
      <c r="K94">
        <v>0</v>
      </c>
      <c r="L94">
        <v>1.6</v>
      </c>
      <c r="M94">
        <v>1.2</v>
      </c>
      <c r="N94">
        <v>35</v>
      </c>
      <c r="O94">
        <v>17</v>
      </c>
      <c r="P94">
        <v>207</v>
      </c>
      <c r="Q94">
        <v>207</v>
      </c>
      <c r="R94">
        <v>0.06</v>
      </c>
      <c r="S94">
        <v>0.08</v>
      </c>
      <c r="T94">
        <v>0.05</v>
      </c>
      <c r="U94">
        <v>0.31</v>
      </c>
      <c r="V94">
        <v>16.2</v>
      </c>
      <c r="W94">
        <v>0.17</v>
      </c>
      <c r="X94">
        <v>6.8</v>
      </c>
      <c r="Y94">
        <v>0.5</v>
      </c>
      <c r="Z94">
        <v>230</v>
      </c>
      <c r="AA94">
        <v>10</v>
      </c>
      <c r="AB94">
        <v>55</v>
      </c>
      <c r="AC94">
        <v>35</v>
      </c>
      <c r="AD94" s="6">
        <v>10</v>
      </c>
      <c r="AE94">
        <v>30</v>
      </c>
      <c r="AF94">
        <v>1</v>
      </c>
      <c r="AG94">
        <v>3.3</v>
      </c>
      <c r="AH94">
        <v>0.2</v>
      </c>
      <c r="AI94">
        <v>0</v>
      </c>
    </row>
    <row r="95" spans="1:35" x14ac:dyDescent="0.25">
      <c r="A95" s="6">
        <v>94</v>
      </c>
      <c r="B95" s="6" t="s">
        <v>15</v>
      </c>
      <c r="C95" t="s">
        <v>83</v>
      </c>
      <c r="D95">
        <v>182</v>
      </c>
      <c r="E95">
        <v>0.1</v>
      </c>
      <c r="F95">
        <v>0</v>
      </c>
      <c r="G95">
        <v>0</v>
      </c>
      <c r="H95">
        <v>0.1</v>
      </c>
      <c r="I95">
        <v>8.8000000000000007</v>
      </c>
      <c r="J95" s="6">
        <v>8.8000000000000007</v>
      </c>
      <c r="K95">
        <v>0</v>
      </c>
      <c r="L95">
        <v>2.2999999999999998</v>
      </c>
      <c r="M95">
        <v>0.6</v>
      </c>
      <c r="N95">
        <v>27</v>
      </c>
      <c r="O95">
        <v>13</v>
      </c>
      <c r="P95">
        <v>159</v>
      </c>
      <c r="Q95">
        <v>146</v>
      </c>
      <c r="R95">
        <v>0.03</v>
      </c>
      <c r="S95">
        <v>0.02</v>
      </c>
      <c r="T95">
        <v>0.03</v>
      </c>
      <c r="U95">
        <v>0.41</v>
      </c>
      <c r="V95">
        <v>3</v>
      </c>
      <c r="W95">
        <v>0.14000000000000001</v>
      </c>
      <c r="X95">
        <v>3.4</v>
      </c>
      <c r="Y95">
        <v>0.61</v>
      </c>
      <c r="Z95">
        <v>240</v>
      </c>
      <c r="AA95">
        <v>2</v>
      </c>
      <c r="AB95">
        <v>1</v>
      </c>
      <c r="AC95">
        <v>13</v>
      </c>
      <c r="AD95" s="6">
        <v>8</v>
      </c>
      <c r="AE95">
        <v>23</v>
      </c>
      <c r="AF95">
        <v>0.4</v>
      </c>
      <c r="AG95">
        <v>0.1</v>
      </c>
      <c r="AH95">
        <v>0.1</v>
      </c>
      <c r="AI95">
        <v>0.6</v>
      </c>
    </row>
    <row r="96" spans="1:35" x14ac:dyDescent="0.25">
      <c r="A96">
        <v>95</v>
      </c>
      <c r="B96" t="s">
        <v>159</v>
      </c>
      <c r="C96" t="s">
        <v>84</v>
      </c>
      <c r="D96">
        <v>163</v>
      </c>
      <c r="E96">
        <v>0.6</v>
      </c>
      <c r="F96">
        <v>0.2</v>
      </c>
      <c r="G96">
        <v>0</v>
      </c>
      <c r="H96">
        <v>0.1</v>
      </c>
      <c r="I96">
        <v>6.3</v>
      </c>
      <c r="J96" s="6">
        <v>4.8</v>
      </c>
      <c r="K96">
        <v>0</v>
      </c>
      <c r="L96">
        <v>1.9</v>
      </c>
      <c r="M96">
        <v>1.1000000000000001</v>
      </c>
      <c r="N96">
        <v>3</v>
      </c>
      <c r="O96">
        <v>1</v>
      </c>
      <c r="P96">
        <v>16</v>
      </c>
      <c r="Q96">
        <v>16</v>
      </c>
      <c r="R96">
        <v>0.04</v>
      </c>
      <c r="S96">
        <v>0.02</v>
      </c>
      <c r="T96">
        <v>0.09</v>
      </c>
      <c r="U96">
        <v>0.2</v>
      </c>
      <c r="V96">
        <v>29.6</v>
      </c>
      <c r="W96">
        <v>0.16</v>
      </c>
      <c r="X96">
        <v>5</v>
      </c>
      <c r="Y96">
        <v>0.06</v>
      </c>
      <c r="Z96">
        <v>140</v>
      </c>
      <c r="AA96">
        <v>7.7</v>
      </c>
      <c r="AB96">
        <v>23</v>
      </c>
      <c r="AC96">
        <v>20</v>
      </c>
      <c r="AD96" s="6">
        <v>8.5</v>
      </c>
      <c r="AE96">
        <v>30</v>
      </c>
      <c r="AF96">
        <v>0.2</v>
      </c>
      <c r="AG96">
        <v>1.8</v>
      </c>
      <c r="AH96">
        <v>0.2</v>
      </c>
      <c r="AI96">
        <v>0.6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C54" sqref="C54"/>
    </sheetView>
  </sheetViews>
  <sheetFormatPr baseColWidth="10" defaultRowHeight="15" x14ac:dyDescent="0.25"/>
  <cols>
    <col min="1" max="1" width="22.28515625" customWidth="1"/>
    <col min="2" max="2" width="15.140625" customWidth="1"/>
    <col min="3" max="3" width="17.85546875" customWidth="1"/>
    <col min="4" max="4" width="22.42578125" customWidth="1"/>
    <col min="5" max="5" width="28" customWidth="1"/>
  </cols>
  <sheetData>
    <row r="1" spans="1:5" ht="23.25" x14ac:dyDescent="0.35">
      <c r="A1" s="13" t="s">
        <v>34</v>
      </c>
      <c r="B1" s="13"/>
      <c r="C1" s="13"/>
      <c r="D1" s="13"/>
      <c r="E1" s="2"/>
    </row>
    <row r="2" spans="1:5" x14ac:dyDescent="0.25">
      <c r="A2" s="2" t="s">
        <v>33</v>
      </c>
      <c r="B2" s="2"/>
      <c r="C2" s="2"/>
      <c r="D2" s="2"/>
      <c r="E2" s="2"/>
    </row>
    <row r="3" spans="1:5" x14ac:dyDescent="0.25">
      <c r="A3" s="2" t="s">
        <v>160</v>
      </c>
      <c r="B3" s="2"/>
      <c r="C3" s="2"/>
      <c r="D3" s="2"/>
      <c r="E3" s="2"/>
    </row>
    <row r="5" spans="1:5" x14ac:dyDescent="0.25">
      <c r="A5" t="s">
        <v>29</v>
      </c>
      <c r="B5" t="s">
        <v>28</v>
      </c>
      <c r="C5" t="s">
        <v>30</v>
      </c>
      <c r="D5" t="s">
        <v>31</v>
      </c>
      <c r="E5" t="s">
        <v>32</v>
      </c>
    </row>
    <row r="6" spans="1:5" x14ac:dyDescent="0.25">
      <c r="A6" t="s">
        <v>5</v>
      </c>
      <c r="B6" t="s">
        <v>20</v>
      </c>
      <c r="C6">
        <v>1</v>
      </c>
      <c r="D6">
        <v>10.5</v>
      </c>
      <c r="E6">
        <v>11</v>
      </c>
    </row>
    <row r="7" spans="1:5" x14ac:dyDescent="0.25">
      <c r="A7" t="s">
        <v>37</v>
      </c>
      <c r="B7" t="s">
        <v>20</v>
      </c>
      <c r="C7">
        <v>1</v>
      </c>
      <c r="D7">
        <v>8.6</v>
      </c>
      <c r="E7">
        <v>9.3000000000000007</v>
      </c>
    </row>
    <row r="8" spans="1:5" x14ac:dyDescent="0.25">
      <c r="A8" t="s">
        <v>36</v>
      </c>
      <c r="B8" t="s">
        <v>20</v>
      </c>
      <c r="C8">
        <v>1</v>
      </c>
      <c r="D8">
        <v>12</v>
      </c>
      <c r="E8">
        <v>9</v>
      </c>
    </row>
    <row r="9" spans="1:5" x14ac:dyDescent="0.25">
      <c r="A9" t="s">
        <v>38</v>
      </c>
      <c r="B9" t="s">
        <v>20</v>
      </c>
      <c r="C9">
        <v>1</v>
      </c>
      <c r="D9">
        <v>13.3</v>
      </c>
      <c r="E9">
        <v>12</v>
      </c>
    </row>
    <row r="10" spans="1:5" x14ac:dyDescent="0.25">
      <c r="A10" t="s">
        <v>12</v>
      </c>
      <c r="B10" t="s">
        <v>20</v>
      </c>
      <c r="C10">
        <v>1</v>
      </c>
      <c r="D10">
        <v>8.9</v>
      </c>
      <c r="E10">
        <v>13</v>
      </c>
    </row>
    <row r="11" spans="1:5" x14ac:dyDescent="0.25">
      <c r="A11" t="s">
        <v>40</v>
      </c>
      <c r="B11" t="s">
        <v>20</v>
      </c>
      <c r="C11">
        <v>1</v>
      </c>
      <c r="D11">
        <v>14.6</v>
      </c>
      <c r="E11">
        <v>7.6</v>
      </c>
    </row>
    <row r="12" spans="1:5" x14ac:dyDescent="0.25">
      <c r="A12" t="s">
        <v>13</v>
      </c>
      <c r="B12" t="s">
        <v>20</v>
      </c>
      <c r="C12">
        <v>1</v>
      </c>
      <c r="D12">
        <v>7.3</v>
      </c>
      <c r="E12">
        <v>8.1999999999999993</v>
      </c>
    </row>
    <row r="13" spans="1:5" x14ac:dyDescent="0.25">
      <c r="A13" t="s">
        <v>14</v>
      </c>
      <c r="B13" t="s">
        <v>20</v>
      </c>
      <c r="C13">
        <v>1</v>
      </c>
      <c r="D13">
        <v>7.1</v>
      </c>
      <c r="E13">
        <v>8</v>
      </c>
    </row>
    <row r="14" spans="1:5" x14ac:dyDescent="0.25">
      <c r="A14" t="s">
        <v>15</v>
      </c>
      <c r="B14" t="s">
        <v>20</v>
      </c>
      <c r="C14">
        <v>1</v>
      </c>
      <c r="D14">
        <v>8.8000000000000007</v>
      </c>
      <c r="E14">
        <v>8</v>
      </c>
    </row>
    <row r="15" spans="1:5" x14ac:dyDescent="0.25">
      <c r="A15" t="s">
        <v>26</v>
      </c>
      <c r="B15" t="s">
        <v>20</v>
      </c>
      <c r="C15">
        <v>1</v>
      </c>
      <c r="D15">
        <v>10</v>
      </c>
      <c r="E15">
        <v>5</v>
      </c>
    </row>
    <row r="16" spans="1:5" x14ac:dyDescent="0.25">
      <c r="A16" t="s">
        <v>27</v>
      </c>
      <c r="B16" t="s">
        <v>20</v>
      </c>
      <c r="C16">
        <v>1</v>
      </c>
      <c r="D16">
        <v>11.5</v>
      </c>
      <c r="E16">
        <v>6.5</v>
      </c>
    </row>
    <row r="19" spans="1:5" x14ac:dyDescent="0.25">
      <c r="A19" t="s">
        <v>29</v>
      </c>
      <c r="B19" t="s">
        <v>28</v>
      </c>
      <c r="C19" t="s">
        <v>30</v>
      </c>
      <c r="D19" t="s">
        <v>31</v>
      </c>
      <c r="E19" t="s">
        <v>32</v>
      </c>
    </row>
    <row r="20" spans="1:5" x14ac:dyDescent="0.25">
      <c r="A20" t="s">
        <v>39</v>
      </c>
      <c r="B20" t="s">
        <v>21</v>
      </c>
      <c r="C20">
        <v>0</v>
      </c>
      <c r="D20">
        <v>0.5</v>
      </c>
      <c r="E20">
        <v>81</v>
      </c>
    </row>
    <row r="21" spans="1:5" x14ac:dyDescent="0.25">
      <c r="A21" t="s">
        <v>35</v>
      </c>
      <c r="B21" t="s">
        <v>21</v>
      </c>
      <c r="C21">
        <v>0</v>
      </c>
      <c r="D21">
        <v>1.9</v>
      </c>
      <c r="E21">
        <v>40</v>
      </c>
    </row>
    <row r="22" spans="1:5" x14ac:dyDescent="0.25">
      <c r="A22" t="s">
        <v>16</v>
      </c>
      <c r="B22" t="s">
        <v>21</v>
      </c>
      <c r="C22">
        <v>0</v>
      </c>
      <c r="D22">
        <v>1.3</v>
      </c>
      <c r="E22">
        <v>11</v>
      </c>
    </row>
    <row r="23" spans="1:5" x14ac:dyDescent="0.25">
      <c r="A23" t="s">
        <v>17</v>
      </c>
      <c r="B23" t="s">
        <v>21</v>
      </c>
      <c r="C23">
        <v>0</v>
      </c>
      <c r="D23">
        <v>3.5</v>
      </c>
      <c r="E23">
        <v>8.8000000000000007</v>
      </c>
    </row>
    <row r="24" spans="1:5" x14ac:dyDescent="0.25">
      <c r="A24" t="s">
        <v>18</v>
      </c>
      <c r="B24" t="s">
        <v>21</v>
      </c>
      <c r="C24">
        <v>0</v>
      </c>
      <c r="D24">
        <v>5.0999999999999996</v>
      </c>
      <c r="E24">
        <v>12</v>
      </c>
    </row>
    <row r="25" spans="1:5" x14ac:dyDescent="0.25">
      <c r="A25" t="s">
        <v>25</v>
      </c>
      <c r="B25" t="s">
        <v>21</v>
      </c>
      <c r="C25">
        <v>0</v>
      </c>
      <c r="D25">
        <v>2.5</v>
      </c>
      <c r="E25">
        <v>38</v>
      </c>
    </row>
    <row r="26" spans="1:5" x14ac:dyDescent="0.25">
      <c r="A26" t="s">
        <v>19</v>
      </c>
      <c r="B26" t="s">
        <v>21</v>
      </c>
      <c r="C26">
        <v>0</v>
      </c>
      <c r="D26">
        <v>2</v>
      </c>
      <c r="E26">
        <v>24</v>
      </c>
    </row>
    <row r="27" spans="1:5" x14ac:dyDescent="0.25">
      <c r="A27" t="s">
        <v>24</v>
      </c>
      <c r="B27" t="s">
        <v>21</v>
      </c>
      <c r="C27">
        <v>0</v>
      </c>
      <c r="D27">
        <v>5.5</v>
      </c>
      <c r="E27">
        <v>34</v>
      </c>
    </row>
    <row r="28" spans="1:5" x14ac:dyDescent="0.25">
      <c r="A28" t="s">
        <v>41</v>
      </c>
      <c r="B28" t="s">
        <v>21</v>
      </c>
      <c r="C28">
        <v>0</v>
      </c>
      <c r="D28">
        <v>1.9</v>
      </c>
      <c r="E28">
        <v>23</v>
      </c>
    </row>
    <row r="29" spans="1:5" x14ac:dyDescent="0.25">
      <c r="A29" t="s">
        <v>22</v>
      </c>
      <c r="B29" t="s">
        <v>21</v>
      </c>
      <c r="C29">
        <v>0</v>
      </c>
      <c r="D29">
        <v>2.4</v>
      </c>
      <c r="E29">
        <v>14</v>
      </c>
    </row>
    <row r="30" spans="1:5" x14ac:dyDescent="0.25">
      <c r="A30" t="s">
        <v>23</v>
      </c>
      <c r="B30" t="s">
        <v>21</v>
      </c>
      <c r="C30">
        <v>0</v>
      </c>
      <c r="D30">
        <v>0.1</v>
      </c>
      <c r="E30">
        <v>12</v>
      </c>
    </row>
  </sheetData>
  <mergeCells count="1">
    <mergeCell ref="A1:D1"/>
  </mergeCells>
  <pageMargins left="0.7" right="0.7" top="0.78740157499999996" bottom="0.78740157499999996" header="0.3" footer="0.3"/>
  <pageSetup paperSize="9" orientation="portrait" horizontalDpi="0" verticalDpi="0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H15" sqref="H15"/>
    </sheetView>
  </sheetViews>
  <sheetFormatPr baseColWidth="10" defaultRowHeight="15" x14ac:dyDescent="0.25"/>
  <cols>
    <col min="1" max="1" width="8.42578125" customWidth="1"/>
    <col min="2" max="2" width="15.7109375" customWidth="1"/>
    <col min="5" max="5" width="16.5703125" customWidth="1"/>
    <col min="7" max="7" width="21.85546875" customWidth="1"/>
    <col min="8" max="8" width="17.28515625" customWidth="1"/>
  </cols>
  <sheetData>
    <row r="1" spans="1:8" x14ac:dyDescent="0.25">
      <c r="A1" s="8" t="s">
        <v>86</v>
      </c>
      <c r="B1" s="8" t="s">
        <v>4</v>
      </c>
      <c r="C1" s="8" t="s">
        <v>6</v>
      </c>
      <c r="D1" s="8" t="s">
        <v>7</v>
      </c>
      <c r="E1" s="8" t="s">
        <v>30</v>
      </c>
      <c r="G1" s="8" t="s">
        <v>10</v>
      </c>
      <c r="H1" s="8" t="s">
        <v>162</v>
      </c>
    </row>
    <row r="2" spans="1:8" x14ac:dyDescent="0.25">
      <c r="A2" s="16">
        <v>1</v>
      </c>
      <c r="B2" s="16" t="s">
        <v>5</v>
      </c>
      <c r="C2" s="16">
        <v>10.5</v>
      </c>
      <c r="D2" s="16">
        <v>11</v>
      </c>
      <c r="E2" s="16">
        <v>1</v>
      </c>
      <c r="G2" s="17" t="s">
        <v>10</v>
      </c>
      <c r="H2" s="17">
        <v>0.1</v>
      </c>
    </row>
    <row r="3" spans="1:8" x14ac:dyDescent="0.25">
      <c r="A3" s="16">
        <v>2</v>
      </c>
      <c r="B3" s="16" t="s">
        <v>37</v>
      </c>
      <c r="C3" s="16">
        <v>8.6</v>
      </c>
      <c r="D3" s="16">
        <v>9.3000000000000007</v>
      </c>
      <c r="E3" s="16">
        <v>1</v>
      </c>
      <c r="G3" s="17" t="s">
        <v>161</v>
      </c>
      <c r="H3" s="18">
        <v>2</v>
      </c>
    </row>
    <row r="4" spans="1:8" x14ac:dyDescent="0.25">
      <c r="A4" s="16">
        <v>3</v>
      </c>
      <c r="B4" s="16" t="s">
        <v>36</v>
      </c>
      <c r="C4" s="16">
        <v>12</v>
      </c>
      <c r="D4" s="16">
        <v>9</v>
      </c>
      <c r="E4" s="16">
        <v>1</v>
      </c>
      <c r="G4" s="17" t="s">
        <v>163</v>
      </c>
      <c r="H4" s="18">
        <f>COUNTA(B:B)-1</f>
        <v>22</v>
      </c>
    </row>
    <row r="5" spans="1:8" x14ac:dyDescent="0.25">
      <c r="A5" s="16">
        <v>4</v>
      </c>
      <c r="B5" s="16" t="s">
        <v>38</v>
      </c>
      <c r="C5" s="16">
        <v>13.3</v>
      </c>
      <c r="D5" s="16">
        <v>12</v>
      </c>
      <c r="E5" s="16">
        <v>1</v>
      </c>
    </row>
    <row r="6" spans="1:8" x14ac:dyDescent="0.25">
      <c r="A6" s="16">
        <v>5</v>
      </c>
      <c r="B6" s="16" t="s">
        <v>12</v>
      </c>
      <c r="C6" s="16">
        <v>8.9</v>
      </c>
      <c r="D6" s="16">
        <v>13</v>
      </c>
      <c r="E6" s="16">
        <v>1</v>
      </c>
    </row>
    <row r="7" spans="1:8" x14ac:dyDescent="0.25">
      <c r="A7" s="16">
        <v>6</v>
      </c>
      <c r="B7" s="16" t="s">
        <v>40</v>
      </c>
      <c r="C7" s="16">
        <v>14.6</v>
      </c>
      <c r="D7" s="16">
        <v>7.6</v>
      </c>
      <c r="E7" s="16">
        <v>1</v>
      </c>
    </row>
    <row r="8" spans="1:8" x14ac:dyDescent="0.25">
      <c r="A8" s="16">
        <v>7</v>
      </c>
      <c r="B8" s="16" t="s">
        <v>13</v>
      </c>
      <c r="C8" s="16">
        <v>7.3</v>
      </c>
      <c r="D8" s="16">
        <v>8.1999999999999993</v>
      </c>
      <c r="E8" s="16">
        <v>1</v>
      </c>
    </row>
    <row r="9" spans="1:8" x14ac:dyDescent="0.25">
      <c r="A9" s="16">
        <v>8</v>
      </c>
      <c r="B9" s="16" t="s">
        <v>14</v>
      </c>
      <c r="C9" s="16">
        <v>7.1</v>
      </c>
      <c r="D9" s="16">
        <v>8</v>
      </c>
      <c r="E9" s="16">
        <v>1</v>
      </c>
    </row>
    <row r="10" spans="1:8" x14ac:dyDescent="0.25">
      <c r="A10" s="16">
        <v>9</v>
      </c>
      <c r="B10" s="16" t="s">
        <v>15</v>
      </c>
      <c r="C10" s="16">
        <v>8.8000000000000007</v>
      </c>
      <c r="D10" s="16">
        <v>8</v>
      </c>
      <c r="E10" s="16">
        <v>1</v>
      </c>
    </row>
    <row r="11" spans="1:8" x14ac:dyDescent="0.25">
      <c r="A11" s="16">
        <v>10</v>
      </c>
      <c r="B11" s="16" t="s">
        <v>26</v>
      </c>
      <c r="C11" s="16">
        <v>10</v>
      </c>
      <c r="D11" s="16">
        <v>5</v>
      </c>
      <c r="E11" s="16">
        <v>1</v>
      </c>
    </row>
    <row r="12" spans="1:8" x14ac:dyDescent="0.25">
      <c r="A12" s="16">
        <v>11</v>
      </c>
      <c r="B12" s="16" t="s">
        <v>27</v>
      </c>
      <c r="C12" s="16">
        <v>11.5</v>
      </c>
      <c r="D12" s="16">
        <v>6.5</v>
      </c>
      <c r="E12" s="16">
        <v>1</v>
      </c>
    </row>
    <row r="13" spans="1:8" x14ac:dyDescent="0.25">
      <c r="A13" s="16">
        <v>12</v>
      </c>
      <c r="B13" s="16" t="s">
        <v>39</v>
      </c>
      <c r="C13" s="16">
        <v>0.5</v>
      </c>
      <c r="D13" s="16">
        <v>81</v>
      </c>
      <c r="E13" s="16">
        <v>0</v>
      </c>
    </row>
    <row r="14" spans="1:8" x14ac:dyDescent="0.25">
      <c r="A14" s="16">
        <v>13</v>
      </c>
      <c r="B14" s="16" t="s">
        <v>35</v>
      </c>
      <c r="C14" s="16">
        <v>1.9</v>
      </c>
      <c r="D14" s="16">
        <v>40</v>
      </c>
      <c r="E14" s="16">
        <v>0</v>
      </c>
    </row>
    <row r="15" spans="1:8" x14ac:dyDescent="0.25">
      <c r="A15" s="16">
        <v>14</v>
      </c>
      <c r="B15" s="16" t="s">
        <v>16</v>
      </c>
      <c r="C15" s="16">
        <v>1.3</v>
      </c>
      <c r="D15" s="16">
        <v>11</v>
      </c>
      <c r="E15" s="16">
        <v>0</v>
      </c>
    </row>
    <row r="16" spans="1:8" x14ac:dyDescent="0.25">
      <c r="A16" s="16">
        <v>15</v>
      </c>
      <c r="B16" s="16" t="s">
        <v>17</v>
      </c>
      <c r="C16" s="16">
        <v>3.5</v>
      </c>
      <c r="D16" s="16">
        <v>8.8000000000000007</v>
      </c>
      <c r="E16" s="16">
        <v>0</v>
      </c>
    </row>
    <row r="17" spans="1:5" x14ac:dyDescent="0.25">
      <c r="A17" s="16">
        <v>16</v>
      </c>
      <c r="B17" s="16" t="s">
        <v>18</v>
      </c>
      <c r="C17" s="16">
        <v>5.0999999999999996</v>
      </c>
      <c r="D17" s="16">
        <v>12</v>
      </c>
      <c r="E17" s="16">
        <v>0</v>
      </c>
    </row>
    <row r="18" spans="1:5" x14ac:dyDescent="0.25">
      <c r="A18" s="16">
        <v>17</v>
      </c>
      <c r="B18" s="16" t="s">
        <v>25</v>
      </c>
      <c r="C18" s="16">
        <v>2.5</v>
      </c>
      <c r="D18" s="16">
        <v>38</v>
      </c>
      <c r="E18" s="16">
        <v>0</v>
      </c>
    </row>
    <row r="19" spans="1:5" x14ac:dyDescent="0.25">
      <c r="A19" s="16">
        <v>18</v>
      </c>
      <c r="B19" s="16" t="s">
        <v>19</v>
      </c>
      <c r="C19" s="16">
        <v>2</v>
      </c>
      <c r="D19" s="16">
        <v>24</v>
      </c>
      <c r="E19" s="16">
        <v>0</v>
      </c>
    </row>
    <row r="20" spans="1:5" x14ac:dyDescent="0.25">
      <c r="A20" s="16">
        <v>19</v>
      </c>
      <c r="B20" s="16" t="s">
        <v>24</v>
      </c>
      <c r="C20" s="16">
        <v>5.5</v>
      </c>
      <c r="D20" s="16">
        <v>34</v>
      </c>
      <c r="E20" s="16">
        <v>0</v>
      </c>
    </row>
    <row r="21" spans="1:5" x14ac:dyDescent="0.25">
      <c r="A21" s="16">
        <v>20</v>
      </c>
      <c r="B21" s="16" t="s">
        <v>41</v>
      </c>
      <c r="C21" s="16">
        <v>1.9</v>
      </c>
      <c r="D21" s="16">
        <v>23</v>
      </c>
      <c r="E21" s="16">
        <v>0</v>
      </c>
    </row>
    <row r="22" spans="1:5" x14ac:dyDescent="0.25">
      <c r="A22" s="16">
        <v>21</v>
      </c>
      <c r="B22" s="16" t="s">
        <v>22</v>
      </c>
      <c r="C22" s="16">
        <v>2.4</v>
      </c>
      <c r="D22" s="16">
        <v>14</v>
      </c>
      <c r="E22" s="16">
        <v>0</v>
      </c>
    </row>
    <row r="23" spans="1:5" x14ac:dyDescent="0.25">
      <c r="A23" s="16">
        <v>22</v>
      </c>
      <c r="B23" s="16" t="s">
        <v>23</v>
      </c>
      <c r="C23" s="16">
        <v>0.1</v>
      </c>
      <c r="D23" s="16">
        <v>12</v>
      </c>
      <c r="E23" s="16">
        <v>0</v>
      </c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6"/>
      <c r="B26" s="16"/>
      <c r="C26" s="16"/>
      <c r="D26" s="16"/>
      <c r="E26" s="16"/>
    </row>
    <row r="27" spans="1:5" x14ac:dyDescent="0.25">
      <c r="A27" s="16"/>
      <c r="B27" s="16"/>
      <c r="C27" s="16"/>
      <c r="D27" s="16"/>
      <c r="E27" s="16"/>
    </row>
    <row r="28" spans="1:5" x14ac:dyDescent="0.25">
      <c r="A28" s="16"/>
      <c r="B28" s="16"/>
      <c r="C28" s="16"/>
      <c r="D28" s="16"/>
      <c r="E28" s="16"/>
    </row>
    <row r="29" spans="1:5" x14ac:dyDescent="0.25">
      <c r="A29" s="16"/>
      <c r="B29" s="16"/>
      <c r="C29" s="16"/>
      <c r="D29" s="16"/>
      <c r="E29" s="16"/>
    </row>
    <row r="30" spans="1:5" x14ac:dyDescent="0.25">
      <c r="A30" s="16"/>
      <c r="B30" s="16"/>
      <c r="C30" s="16"/>
      <c r="D30" s="16"/>
      <c r="E30" s="16"/>
    </row>
    <row r="31" spans="1:5" x14ac:dyDescent="0.25">
      <c r="A31" s="16"/>
      <c r="B31" s="16"/>
      <c r="C31" s="16"/>
      <c r="D31" s="16"/>
      <c r="E31" s="16"/>
    </row>
    <row r="32" spans="1:5" x14ac:dyDescent="0.25">
      <c r="A32" s="16"/>
      <c r="B32" s="16"/>
      <c r="C32" s="16"/>
      <c r="D32" s="16"/>
      <c r="E32" s="16"/>
    </row>
    <row r="33" spans="1:5" x14ac:dyDescent="0.25">
      <c r="A33" s="16"/>
      <c r="B33" s="16"/>
      <c r="C33" s="16"/>
      <c r="D33" s="16"/>
      <c r="E33" s="16"/>
    </row>
    <row r="34" spans="1:5" x14ac:dyDescent="0.25">
      <c r="A34" s="16"/>
      <c r="B34" s="16"/>
      <c r="C34" s="16"/>
      <c r="D34" s="16"/>
      <c r="E34" s="16"/>
    </row>
    <row r="35" spans="1:5" x14ac:dyDescent="0.25">
      <c r="A35" s="16"/>
      <c r="B35" s="16"/>
      <c r="C35" s="16"/>
      <c r="D35" s="16"/>
      <c r="E35" s="16"/>
    </row>
    <row r="36" spans="1:5" x14ac:dyDescent="0.25">
      <c r="A36" s="16"/>
      <c r="B36" s="16"/>
      <c r="C36" s="16"/>
      <c r="D36" s="16"/>
      <c r="E36" s="16"/>
    </row>
    <row r="37" spans="1:5" x14ac:dyDescent="0.25">
      <c r="A37" s="16"/>
      <c r="B37" s="16"/>
      <c r="C37" s="16"/>
      <c r="D37" s="16"/>
      <c r="E37" s="16"/>
    </row>
    <row r="38" spans="1:5" x14ac:dyDescent="0.25">
      <c r="A38" s="16"/>
      <c r="B38" s="16"/>
      <c r="C38" s="16"/>
      <c r="D38" s="16"/>
      <c r="E38" s="16"/>
    </row>
    <row r="39" spans="1:5" x14ac:dyDescent="0.25">
      <c r="A39" s="16"/>
      <c r="B39" s="16"/>
      <c r="C39" s="16"/>
      <c r="D39" s="16"/>
      <c r="E39" s="16"/>
    </row>
    <row r="40" spans="1:5" x14ac:dyDescent="0.25">
      <c r="A40" s="16"/>
      <c r="B40" s="16"/>
      <c r="C40" s="16"/>
      <c r="D40" s="16"/>
      <c r="E40" s="16"/>
    </row>
    <row r="41" spans="1:5" x14ac:dyDescent="0.25">
      <c r="A41" s="16"/>
      <c r="B41" s="16"/>
      <c r="C41" s="16"/>
      <c r="D41" s="16"/>
      <c r="E41" s="16"/>
    </row>
    <row r="42" spans="1:5" x14ac:dyDescent="0.25">
      <c r="A42" s="16"/>
      <c r="B42" s="16"/>
      <c r="C42" s="16"/>
      <c r="D42" s="16"/>
      <c r="E42" s="16"/>
    </row>
    <row r="43" spans="1:5" x14ac:dyDescent="0.25">
      <c r="A43" s="16"/>
      <c r="B43" s="16"/>
      <c r="C43" s="16"/>
      <c r="D43" s="16"/>
      <c r="E43" s="16"/>
    </row>
    <row r="44" spans="1:5" x14ac:dyDescent="0.25">
      <c r="A44" s="16"/>
      <c r="B44" s="16"/>
      <c r="C44" s="16"/>
      <c r="D44" s="16"/>
      <c r="E44" s="16"/>
    </row>
    <row r="45" spans="1:5" x14ac:dyDescent="0.25">
      <c r="A45" s="16"/>
      <c r="B45" s="16"/>
      <c r="C45" s="16"/>
      <c r="D45" s="16"/>
      <c r="E45" s="16"/>
    </row>
    <row r="46" spans="1:5" x14ac:dyDescent="0.25">
      <c r="A46" s="16"/>
      <c r="B46" s="16"/>
      <c r="C46" s="16"/>
      <c r="D46" s="16"/>
      <c r="E46" s="16"/>
    </row>
    <row r="47" spans="1:5" x14ac:dyDescent="0.25">
      <c r="A47" s="16"/>
      <c r="B47" s="16"/>
      <c r="C47" s="16"/>
      <c r="D47" s="16"/>
      <c r="E47" s="16"/>
    </row>
    <row r="48" spans="1:5" x14ac:dyDescent="0.25">
      <c r="A48" s="16"/>
      <c r="B48" s="16"/>
      <c r="C48" s="16"/>
      <c r="D48" s="16"/>
      <c r="E48" s="16"/>
    </row>
    <row r="49" spans="1:5" x14ac:dyDescent="0.25">
      <c r="A49" s="16"/>
      <c r="B49" s="16"/>
      <c r="C49" s="16"/>
      <c r="D49" s="16"/>
      <c r="E49" s="16"/>
    </row>
    <row r="50" spans="1:5" x14ac:dyDescent="0.25">
      <c r="A50" s="16"/>
      <c r="B50" s="16"/>
      <c r="C50" s="16"/>
      <c r="D50" s="16"/>
      <c r="E50" s="16"/>
    </row>
    <row r="51" spans="1:5" x14ac:dyDescent="0.25">
      <c r="A51" s="16"/>
      <c r="B51" s="16"/>
      <c r="C51" s="16"/>
      <c r="D51" s="16"/>
      <c r="E51" s="16"/>
    </row>
    <row r="52" spans="1:5" x14ac:dyDescent="0.25">
      <c r="A52" s="16"/>
      <c r="B52" s="16"/>
      <c r="C52" s="16"/>
      <c r="D52" s="16"/>
      <c r="E52" s="16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"/>
  <sheetViews>
    <sheetView workbookViewId="0">
      <selection activeCell="U36" sqref="U36"/>
    </sheetView>
  </sheetViews>
  <sheetFormatPr baseColWidth="10" defaultColWidth="9.140625" defaultRowHeight="15" x14ac:dyDescent="0.25"/>
  <cols>
    <col min="2" max="2" width="9.140625" style="12"/>
    <col min="3" max="3" width="18.42578125" customWidth="1"/>
    <col min="4" max="4" width="18.140625" customWidth="1"/>
    <col min="7" max="7" width="16.42578125" customWidth="1"/>
    <col min="8" max="8" width="8.85546875" style="12" customWidth="1"/>
    <col min="9" max="10" width="12.5703125" customWidth="1"/>
    <col min="13" max="13" width="12.42578125" customWidth="1"/>
  </cols>
  <sheetData>
    <row r="1" spans="1:14" x14ac:dyDescent="0.25">
      <c r="A1" s="8" t="s">
        <v>86</v>
      </c>
      <c r="B1" s="8" t="s">
        <v>164</v>
      </c>
      <c r="C1" s="8" t="s">
        <v>165</v>
      </c>
      <c r="D1" s="8" t="s">
        <v>4</v>
      </c>
      <c r="E1" s="8" t="s">
        <v>6</v>
      </c>
      <c r="F1" s="8" t="s">
        <v>7</v>
      </c>
      <c r="G1" s="8" t="s">
        <v>30</v>
      </c>
      <c r="H1" s="8" t="s">
        <v>10</v>
      </c>
      <c r="I1" s="8" t="s">
        <v>8</v>
      </c>
      <c r="J1" s="8" t="s">
        <v>9</v>
      </c>
      <c r="K1" s="8" t="s">
        <v>0</v>
      </c>
      <c r="L1" s="8" t="s">
        <v>1</v>
      </c>
      <c r="M1" s="8" t="s">
        <v>2</v>
      </c>
      <c r="N1" s="8" t="s">
        <v>3</v>
      </c>
    </row>
    <row r="2" spans="1:14" x14ac:dyDescent="0.25">
      <c r="A2" s="10">
        <v>0</v>
      </c>
      <c r="B2" s="11">
        <v>1</v>
      </c>
      <c r="C2" s="10">
        <v>0</v>
      </c>
      <c r="D2" s="10" t="s">
        <v>87</v>
      </c>
      <c r="E2" s="10">
        <v>0</v>
      </c>
      <c r="F2" s="10">
        <v>0</v>
      </c>
      <c r="G2" s="10">
        <v>1</v>
      </c>
      <c r="H2" s="11">
        <f>Trainingsdaten!$H$2</f>
        <v>0.1</v>
      </c>
      <c r="I2" s="10">
        <v>0</v>
      </c>
      <c r="J2" s="10">
        <v>0</v>
      </c>
      <c r="K2" s="10">
        <v>0</v>
      </c>
      <c r="L2" s="10">
        <f t="shared" ref="L2:L3" si="0">E2*I2+F2*J2+K2</f>
        <v>0</v>
      </c>
      <c r="M2" s="10">
        <f t="shared" ref="M2:M3" si="1">IF(L2&gt;0,1,0)</f>
        <v>0</v>
      </c>
      <c r="N2" s="10">
        <f t="shared" ref="N2" si="2">G2-M2</f>
        <v>1</v>
      </c>
    </row>
    <row r="3" spans="1:14" x14ac:dyDescent="0.25">
      <c r="A3" s="10">
        <v>0</v>
      </c>
      <c r="B3" s="11">
        <v>1</v>
      </c>
      <c r="C3" s="10">
        <v>0</v>
      </c>
      <c r="D3" s="10" t="s">
        <v>88</v>
      </c>
      <c r="E3" s="10">
        <v>-1</v>
      </c>
      <c r="F3" s="10">
        <v>1</v>
      </c>
      <c r="G3" s="10">
        <v>0</v>
      </c>
      <c r="H3" s="11">
        <f>Trainingsdaten!$H$2</f>
        <v>0.1</v>
      </c>
      <c r="I3" s="10">
        <f>I2+H3*N2*E3</f>
        <v>-0.1</v>
      </c>
      <c r="J3" s="10">
        <f>J2+H3*N2*F3</f>
        <v>0.1</v>
      </c>
      <c r="K3" s="10">
        <f>K2+H3*N2</f>
        <v>0.1</v>
      </c>
      <c r="L3" s="10">
        <f t="shared" si="0"/>
        <v>0.30000000000000004</v>
      </c>
      <c r="M3" s="10">
        <f t="shared" si="1"/>
        <v>1</v>
      </c>
      <c r="N3" s="10">
        <f>G3-M3</f>
        <v>-1</v>
      </c>
    </row>
    <row r="4" spans="1:14" x14ac:dyDescent="0.25">
      <c r="A4" s="9">
        <f>IF($B4&gt;Trainingsdaten!$H$3,"",MOD(ROW()-4,Trainingsdaten!$H$4)+1)</f>
        <v>1</v>
      </c>
      <c r="B4" s="11">
        <f>IF(INT((ROW()-4)/Trainingsdaten!$H$4)+1&gt;Trainingsdaten!$H$3,"",INT((ROW()-4)/Trainingsdaten!$H$4)+1)</f>
        <v>1</v>
      </c>
      <c r="C4" s="9">
        <f>IF(INT((ROW()-4)/Trainingsdaten!$H$4)+1&gt;Trainingsdaten!$H$3,"",MOD(ROW()-4,Trainingsdaten!$H$4)+1)</f>
        <v>1</v>
      </c>
      <c r="D4" s="9" t="str">
        <f>IF($B4&gt;Trainingsdaten!$H$3,"",INDEX(Trainingsdaten!B:B,$C4+1))</f>
        <v>Ananas</v>
      </c>
      <c r="E4" s="7">
        <f>IF($B4&gt;Trainingsdaten!$H$3,"",INDEX(Trainingsdaten!C:C,$C4+1))</f>
        <v>10.5</v>
      </c>
      <c r="F4" s="7">
        <f>IF($B4&gt;Trainingsdaten!$H$3,"",INDEX(Trainingsdaten!D:D,$C4+1))</f>
        <v>11</v>
      </c>
      <c r="G4" s="7">
        <f>IF($B4&gt;Trainingsdaten!$H$3,"",INDEX(Trainingsdaten!E:E,$C4+1))</f>
        <v>1</v>
      </c>
      <c r="H4" s="11">
        <f>IF($B4&gt;Trainingsdaten!$H$3,"",Trainingsdaten!$H$2)</f>
        <v>0.1</v>
      </c>
      <c r="I4" s="7">
        <f>IF(B4&gt;Trainingsdaten!$H$3,"",I3+H4*N3*E4)</f>
        <v>-1.1500000000000001</v>
      </c>
      <c r="J4" s="7">
        <f>IF(B4&gt;Trainingsdaten!$H$3,"",J3+H4*N3*F4)</f>
        <v>-1</v>
      </c>
      <c r="K4" s="7">
        <f>IF(B4&gt;Trainingsdaten!$H$3,"",K3+H4*N3)</f>
        <v>0</v>
      </c>
      <c r="L4" s="7">
        <f>IF(B4&gt;Trainingsdaten!$H$3,"",E4*I4+F4*J4+K4)</f>
        <v>-23.075000000000003</v>
      </c>
      <c r="M4" s="7">
        <f>IF(B4&gt;Trainingsdaten!$H$3,"",IF(L4&gt;0,1,0))</f>
        <v>0</v>
      </c>
      <c r="N4" s="7">
        <f>IF(B4&gt;Trainingsdaten!$H$3,"",G4-M4)</f>
        <v>1</v>
      </c>
    </row>
    <row r="5" spans="1:14" x14ac:dyDescent="0.25">
      <c r="A5" s="9">
        <f>IF($B5&gt;Trainingsdaten!$H$3,"",MOD(ROW()-4,Trainingsdaten!$H$4)+1)</f>
        <v>2</v>
      </c>
      <c r="B5" s="11">
        <f>IF(INT((ROW()-4)/Trainingsdaten!$H$4)+1&gt;Trainingsdaten!$H$3,"",INT((ROW()-4)/Trainingsdaten!$H$4)+1)</f>
        <v>1</v>
      </c>
      <c r="C5" s="9">
        <f>IF(INT((ROW()-4)/Trainingsdaten!$H$4)+1&gt;Trainingsdaten!$H$3,"",MOD(ROW()-4,Trainingsdaten!$H$4)+1)</f>
        <v>2</v>
      </c>
      <c r="D5" s="9" t="str">
        <f>IF($B5&gt;Trainingsdaten!$H$3,"",INDEX(Trainingsdaten!B:B,$C5+1))</f>
        <v>Mandarine</v>
      </c>
      <c r="E5" s="7">
        <f>IF($B5&gt;Trainingsdaten!$H$3,"",INDEX(Trainingsdaten!C:C,$C5+1))</f>
        <v>8.6</v>
      </c>
      <c r="F5" s="7">
        <f>IF($B5&gt;Trainingsdaten!$H$3,"",INDEX(Trainingsdaten!D:D,$C5+1))</f>
        <v>9.3000000000000007</v>
      </c>
      <c r="G5" s="7">
        <f>IF($B5&gt;Trainingsdaten!$H$3,"",INDEX(Trainingsdaten!E:E,$C5+1))</f>
        <v>1</v>
      </c>
      <c r="H5" s="11">
        <f>IF($B5&gt;Trainingsdaten!$H$3,"",Trainingsdaten!$H$2)</f>
        <v>0.1</v>
      </c>
      <c r="I5" s="7">
        <f>IF(B5&gt;Trainingsdaten!$H$3,"",I4+H5*N4*E5)</f>
        <v>-0.29000000000000015</v>
      </c>
      <c r="J5" s="7">
        <f>IF(B5&gt;Trainingsdaten!$H$3,"",J4+H5*N4*F5)</f>
        <v>-6.999999999999984E-2</v>
      </c>
      <c r="K5" s="7">
        <f>IF(B5&gt;Trainingsdaten!$H$3,"",K4+H5*N4)</f>
        <v>0.1</v>
      </c>
      <c r="L5" s="7">
        <f>IF(B5&gt;Trainingsdaten!$H$3,"",E5*I5+F5*J5+K5)</f>
        <v>-3.0449999999999995</v>
      </c>
      <c r="M5" s="7">
        <f>IF(B5&gt;Trainingsdaten!$H$3,"",IF(L5&gt;0,1,0))</f>
        <v>0</v>
      </c>
      <c r="N5" s="7">
        <f>IF(B5&gt;Trainingsdaten!$H$3,"",G5-M5)</f>
        <v>1</v>
      </c>
    </row>
    <row r="6" spans="1:14" x14ac:dyDescent="0.25">
      <c r="A6" s="9">
        <f>IF($B6&gt;Trainingsdaten!$H$3,"",MOD(ROW()-4,Trainingsdaten!$H$4)+1)</f>
        <v>3</v>
      </c>
      <c r="B6" s="11">
        <f>IF(INT((ROW()-4)/Trainingsdaten!$H$4)+1&gt;Trainingsdaten!$H$3,"",INT((ROW()-4)/Trainingsdaten!$H$4)+1)</f>
        <v>1</v>
      </c>
      <c r="C6" s="9">
        <f>IF(INT((ROW()-4)/Trainingsdaten!$H$4)+1&gt;Trainingsdaten!$H$3,"",MOD(ROW()-4,Trainingsdaten!$H$4)+1)</f>
        <v>3</v>
      </c>
      <c r="D6" s="9" t="str">
        <f>IF($B6&gt;Trainingsdaten!$H$3,"",INDEX(Trainingsdaten!B:B,$C6+1))</f>
        <v>Mango</v>
      </c>
      <c r="E6" s="7">
        <f>IF($B6&gt;Trainingsdaten!$H$3,"",INDEX(Trainingsdaten!C:C,$C6+1))</f>
        <v>12</v>
      </c>
      <c r="F6" s="7">
        <f>IF($B6&gt;Trainingsdaten!$H$3,"",INDEX(Trainingsdaten!D:D,$C6+1))</f>
        <v>9</v>
      </c>
      <c r="G6" s="7">
        <f>IF($B6&gt;Trainingsdaten!$H$3,"",INDEX(Trainingsdaten!E:E,$C6+1))</f>
        <v>1</v>
      </c>
      <c r="H6" s="11">
        <f>IF($B6&gt;Trainingsdaten!$H$3,"",Trainingsdaten!$H$2)</f>
        <v>0.1</v>
      </c>
      <c r="I6" s="7">
        <f>IF(B6&gt;Trainingsdaten!$H$3,"",I5+H6*N5*E6)</f>
        <v>0.91</v>
      </c>
      <c r="J6" s="7">
        <f>IF(B6&gt;Trainingsdaten!$H$3,"",J5+H6*N5*F6)</f>
        <v>0.83000000000000018</v>
      </c>
      <c r="K6" s="7">
        <f>IF(B6&gt;Trainingsdaten!$H$3,"",K5+H6*N5)</f>
        <v>0.2</v>
      </c>
      <c r="L6" s="7">
        <f>IF(B6&gt;Trainingsdaten!$H$3,"",E6*I6+F6*J6+K6)</f>
        <v>18.59</v>
      </c>
      <c r="M6" s="7">
        <f>IF(B6&gt;Trainingsdaten!$H$3,"",IF(L6&gt;0,1,0))</f>
        <v>1</v>
      </c>
      <c r="N6" s="7">
        <f>IF(B6&gt;Trainingsdaten!$H$3,"",G6-M6)</f>
        <v>0</v>
      </c>
    </row>
    <row r="7" spans="1:14" x14ac:dyDescent="0.25">
      <c r="A7" s="9">
        <f>IF($B7&gt;Trainingsdaten!$H$3,"",MOD(ROW()-4,Trainingsdaten!$H$4)+1)</f>
        <v>4</v>
      </c>
      <c r="B7" s="11">
        <f>IF(INT((ROW()-4)/Trainingsdaten!$H$4)+1&gt;Trainingsdaten!$H$3,"",INT((ROW()-4)/Trainingsdaten!$H$4)+1)</f>
        <v>1</v>
      </c>
      <c r="C7" s="9">
        <f>IF(INT((ROW()-4)/Trainingsdaten!$H$4)+1&gt;Trainingsdaten!$H$3,"",MOD(ROW()-4,Trainingsdaten!$H$4)+1)</f>
        <v>4</v>
      </c>
      <c r="D7" s="9" t="str">
        <f>IF($B7&gt;Trainingsdaten!$H$3,"",INDEX(Trainingsdaten!B:B,$C7+1))</f>
        <v>Granatapfel</v>
      </c>
      <c r="E7" s="7">
        <f>IF($B7&gt;Trainingsdaten!$H$3,"",INDEX(Trainingsdaten!C:C,$C7+1))</f>
        <v>13.3</v>
      </c>
      <c r="F7" s="7">
        <f>IF($B7&gt;Trainingsdaten!$H$3,"",INDEX(Trainingsdaten!D:D,$C7+1))</f>
        <v>12</v>
      </c>
      <c r="G7" s="7">
        <f>IF($B7&gt;Trainingsdaten!$H$3,"",INDEX(Trainingsdaten!E:E,$C7+1))</f>
        <v>1</v>
      </c>
      <c r="H7" s="11">
        <f>IF($B7&gt;Trainingsdaten!$H$3,"",Trainingsdaten!$H$2)</f>
        <v>0.1</v>
      </c>
      <c r="I7" s="7">
        <f>IF(B7&gt;Trainingsdaten!$H$3,"",I6+H7*N6*E7)</f>
        <v>0.91</v>
      </c>
      <c r="J7" s="7">
        <f>IF(B7&gt;Trainingsdaten!$H$3,"",J6+H7*N6*F7)</f>
        <v>0.83000000000000018</v>
      </c>
      <c r="K7" s="7">
        <f>IF(B7&gt;Trainingsdaten!$H$3,"",K6+H7*N6)</f>
        <v>0.2</v>
      </c>
      <c r="L7" s="7">
        <f>IF(B7&gt;Trainingsdaten!$H$3,"",E7*I7+F7*J7+K7)</f>
        <v>22.263000000000002</v>
      </c>
      <c r="M7" s="7">
        <f>IF(B7&gt;Trainingsdaten!$H$3,"",IF(L7&gt;0,1,0))</f>
        <v>1</v>
      </c>
      <c r="N7" s="7">
        <f>IF(B7&gt;Trainingsdaten!$H$3,"",G7-M7)</f>
        <v>0</v>
      </c>
    </row>
    <row r="8" spans="1:14" x14ac:dyDescent="0.25">
      <c r="A8" s="9">
        <f>IF($B8&gt;Trainingsdaten!$H$3,"",MOD(ROW()-4,Trainingsdaten!$H$4)+1)</f>
        <v>5</v>
      </c>
      <c r="B8" s="11">
        <f>IF(INT((ROW()-4)/Trainingsdaten!$H$4)+1&gt;Trainingsdaten!$H$3,"",INT((ROW()-4)/Trainingsdaten!$H$4)+1)</f>
        <v>1</v>
      </c>
      <c r="C8" s="9">
        <f>IF(INT((ROW()-4)/Trainingsdaten!$H$4)+1&gt;Trainingsdaten!$H$3,"",MOD(ROW()-4,Trainingsdaten!$H$4)+1)</f>
        <v>5</v>
      </c>
      <c r="D8" s="9" t="str">
        <f>IF($B8&gt;Trainingsdaten!$H$3,"",INDEX(Trainingsdaten!B:B,$C8+1))</f>
        <v>Kiwi</v>
      </c>
      <c r="E8" s="7">
        <f>IF($B8&gt;Trainingsdaten!$H$3,"",INDEX(Trainingsdaten!C:C,$C8+1))</f>
        <v>8.9</v>
      </c>
      <c r="F8" s="7">
        <f>IF($B8&gt;Trainingsdaten!$H$3,"",INDEX(Trainingsdaten!D:D,$C8+1))</f>
        <v>13</v>
      </c>
      <c r="G8" s="7">
        <f>IF($B8&gt;Trainingsdaten!$H$3,"",INDEX(Trainingsdaten!E:E,$C8+1))</f>
        <v>1</v>
      </c>
      <c r="H8" s="11">
        <f>IF($B8&gt;Trainingsdaten!$H$3,"",Trainingsdaten!$H$2)</f>
        <v>0.1</v>
      </c>
      <c r="I8" s="7">
        <f>IF(B8&gt;Trainingsdaten!$H$3,"",I7+H8*N7*E8)</f>
        <v>0.91</v>
      </c>
      <c r="J8" s="7">
        <f>IF(B8&gt;Trainingsdaten!$H$3,"",J7+H8*N7*F8)</f>
        <v>0.83000000000000018</v>
      </c>
      <c r="K8" s="7">
        <f>IF(B8&gt;Trainingsdaten!$H$3,"",K7+H8*N7)</f>
        <v>0.2</v>
      </c>
      <c r="L8" s="7">
        <f>IF(B8&gt;Trainingsdaten!$H$3,"",E8*I8+F8*J8+K8)</f>
        <v>19.089000000000002</v>
      </c>
      <c r="M8" s="7">
        <f>IF(B8&gt;Trainingsdaten!$H$3,"",IF(L8&gt;0,1,0))</f>
        <v>1</v>
      </c>
      <c r="N8" s="7">
        <f>IF(B8&gt;Trainingsdaten!$H$3,"",G8-M8)</f>
        <v>0</v>
      </c>
    </row>
    <row r="9" spans="1:14" x14ac:dyDescent="0.25">
      <c r="A9" s="9">
        <f>IF($B9&gt;Trainingsdaten!$H$3,"",MOD(ROW()-4,Trainingsdaten!$H$4)+1)</f>
        <v>6</v>
      </c>
      <c r="B9" s="11">
        <f>IF(INT((ROW()-4)/Trainingsdaten!$H$4)+1&gt;Trainingsdaten!$H$3,"",INT((ROW()-4)/Trainingsdaten!$H$4)+1)</f>
        <v>1</v>
      </c>
      <c r="C9" s="9">
        <f>IF(INT((ROW()-4)/Trainingsdaten!$H$4)+1&gt;Trainingsdaten!$H$3,"",MOD(ROW()-4,Trainingsdaten!$H$4)+1)</f>
        <v>6</v>
      </c>
      <c r="D9" s="9" t="str">
        <f>IF($B9&gt;Trainingsdaten!$H$3,"",INDEX(Trainingsdaten!B:B,$C9+1))</f>
        <v>Weintraube</v>
      </c>
      <c r="E9" s="7">
        <f>IF($B9&gt;Trainingsdaten!$H$3,"",INDEX(Trainingsdaten!C:C,$C9+1))</f>
        <v>14.6</v>
      </c>
      <c r="F9" s="7">
        <f>IF($B9&gt;Trainingsdaten!$H$3,"",INDEX(Trainingsdaten!D:D,$C9+1))</f>
        <v>7.6</v>
      </c>
      <c r="G9" s="7">
        <f>IF($B9&gt;Trainingsdaten!$H$3,"",INDEX(Trainingsdaten!E:E,$C9+1))</f>
        <v>1</v>
      </c>
      <c r="H9" s="11">
        <f>IF($B9&gt;Trainingsdaten!$H$3,"",Trainingsdaten!$H$2)</f>
        <v>0.1</v>
      </c>
      <c r="I9" s="7">
        <f>IF(B9&gt;Trainingsdaten!$H$3,"",I8+H9*N8*E9)</f>
        <v>0.91</v>
      </c>
      <c r="J9" s="7">
        <f>IF(B9&gt;Trainingsdaten!$H$3,"",J8+H9*N8*F9)</f>
        <v>0.83000000000000018</v>
      </c>
      <c r="K9" s="7">
        <f>IF(B9&gt;Trainingsdaten!$H$3,"",K8+H9*N8)</f>
        <v>0.2</v>
      </c>
      <c r="L9" s="7">
        <f>IF(B9&gt;Trainingsdaten!$H$3,"",E9*I9+F9*J9+K9)</f>
        <v>19.794</v>
      </c>
      <c r="M9" s="7">
        <f>IF(B9&gt;Trainingsdaten!$H$3,"",IF(L9&gt;0,1,0))</f>
        <v>1</v>
      </c>
      <c r="N9" s="7">
        <f>IF(B9&gt;Trainingsdaten!$H$3,"",G9-M9)</f>
        <v>0</v>
      </c>
    </row>
    <row r="10" spans="1:14" x14ac:dyDescent="0.25">
      <c r="A10" s="9">
        <f>IF($B10&gt;Trainingsdaten!$H$3,"",MOD(ROW()-4,Trainingsdaten!$H$4)+1)</f>
        <v>7</v>
      </c>
      <c r="B10" s="11">
        <f>IF(INT((ROW()-4)/Trainingsdaten!$H$4)+1&gt;Trainingsdaten!$H$3,"",INT((ROW()-4)/Trainingsdaten!$H$4)+1)</f>
        <v>1</v>
      </c>
      <c r="C10" s="9">
        <f>IF(INT((ROW()-4)/Trainingsdaten!$H$4)+1&gt;Trainingsdaten!$H$3,"",MOD(ROW()-4,Trainingsdaten!$H$4)+1)</f>
        <v>7</v>
      </c>
      <c r="D10" s="9" t="str">
        <f>IF($B10&gt;Trainingsdaten!$H$3,"",INDEX(Trainingsdaten!B:B,$C10+1))</f>
        <v>Quitte</v>
      </c>
      <c r="E10" s="7">
        <f>IF($B10&gt;Trainingsdaten!$H$3,"",INDEX(Trainingsdaten!C:C,$C10+1))</f>
        <v>7.3</v>
      </c>
      <c r="F10" s="7">
        <f>IF($B10&gt;Trainingsdaten!$H$3,"",INDEX(Trainingsdaten!D:D,$C10+1))</f>
        <v>8.1999999999999993</v>
      </c>
      <c r="G10" s="7">
        <f>IF($B10&gt;Trainingsdaten!$H$3,"",INDEX(Trainingsdaten!E:E,$C10+1))</f>
        <v>1</v>
      </c>
      <c r="H10" s="11">
        <f>IF($B10&gt;Trainingsdaten!$H$3,"",Trainingsdaten!$H$2)</f>
        <v>0.1</v>
      </c>
      <c r="I10" s="7">
        <f>IF(B10&gt;Trainingsdaten!$H$3,"",I9+H10*N9*E10)</f>
        <v>0.91</v>
      </c>
      <c r="J10" s="7">
        <f>IF(B10&gt;Trainingsdaten!$H$3,"",J9+H10*N9*F10)</f>
        <v>0.83000000000000018</v>
      </c>
      <c r="K10" s="7">
        <f>IF(B10&gt;Trainingsdaten!$H$3,"",K9+H10*N9)</f>
        <v>0.2</v>
      </c>
      <c r="L10" s="7">
        <f>IF(B10&gt;Trainingsdaten!$H$3,"",E10*I10+F10*J10+K10)</f>
        <v>13.649000000000001</v>
      </c>
      <c r="M10" s="7">
        <f>IF(B10&gt;Trainingsdaten!$H$3,"",IF(L10&gt;0,1,0))</f>
        <v>1</v>
      </c>
      <c r="N10" s="7">
        <f>IF(B10&gt;Trainingsdaten!$H$3,"",G10-M10)</f>
        <v>0</v>
      </c>
    </row>
    <row r="11" spans="1:14" x14ac:dyDescent="0.25">
      <c r="A11" s="9">
        <f>IF($B11&gt;Trainingsdaten!$H$3,"",MOD(ROW()-4,Trainingsdaten!$H$4)+1)</f>
        <v>8</v>
      </c>
      <c r="B11" s="11">
        <f>IF(INT((ROW()-4)/Trainingsdaten!$H$4)+1&gt;Trainingsdaten!$H$3,"",INT((ROW()-4)/Trainingsdaten!$H$4)+1)</f>
        <v>1</v>
      </c>
      <c r="C11" s="9">
        <f>IF(INT((ROW()-4)/Trainingsdaten!$H$4)+1&gt;Trainingsdaten!$H$3,"",MOD(ROW()-4,Trainingsdaten!$H$4)+1)</f>
        <v>8</v>
      </c>
      <c r="D11" s="9" t="str">
        <f>IF($B11&gt;Trainingsdaten!$H$3,"",INDEX(Trainingsdaten!B:B,$C11+1))</f>
        <v>Stachelbeere</v>
      </c>
      <c r="E11" s="7">
        <f>IF($B11&gt;Trainingsdaten!$H$3,"",INDEX(Trainingsdaten!C:C,$C11+1))</f>
        <v>7.1</v>
      </c>
      <c r="F11" s="7">
        <f>IF($B11&gt;Trainingsdaten!$H$3,"",INDEX(Trainingsdaten!D:D,$C11+1))</f>
        <v>8</v>
      </c>
      <c r="G11" s="7">
        <f>IF($B11&gt;Trainingsdaten!$H$3,"",INDEX(Trainingsdaten!E:E,$C11+1))</f>
        <v>1</v>
      </c>
      <c r="H11" s="11">
        <f>IF($B11&gt;Trainingsdaten!$H$3,"",Trainingsdaten!$H$2)</f>
        <v>0.1</v>
      </c>
      <c r="I11" s="7">
        <f>IF(B11&gt;Trainingsdaten!$H$3,"",I10+H11*N10*E11)</f>
        <v>0.91</v>
      </c>
      <c r="J11" s="7">
        <f>IF(B11&gt;Trainingsdaten!$H$3,"",J10+H11*N10*F11)</f>
        <v>0.83000000000000018</v>
      </c>
      <c r="K11" s="7">
        <f>IF(B11&gt;Trainingsdaten!$H$3,"",K10+H11*N10)</f>
        <v>0.2</v>
      </c>
      <c r="L11" s="7">
        <f>IF(B11&gt;Trainingsdaten!$H$3,"",E11*I11+F11*J11+K11)</f>
        <v>13.301000000000002</v>
      </c>
      <c r="M11" s="7">
        <f>IF(B11&gt;Trainingsdaten!$H$3,"",IF(L11&gt;0,1,0))</f>
        <v>1</v>
      </c>
      <c r="N11" s="7">
        <f>IF(B11&gt;Trainingsdaten!$H$3,"",G11-M11)</f>
        <v>0</v>
      </c>
    </row>
    <row r="12" spans="1:14" x14ac:dyDescent="0.25">
      <c r="A12" s="9">
        <f>IF($B12&gt;Trainingsdaten!$H$3,"",MOD(ROW()-4,Trainingsdaten!$H$4)+1)</f>
        <v>9</v>
      </c>
      <c r="B12" s="11">
        <f>IF(INT((ROW()-4)/Trainingsdaten!$H$4)+1&gt;Trainingsdaten!$H$3,"",INT((ROW()-4)/Trainingsdaten!$H$4)+1)</f>
        <v>1</v>
      </c>
      <c r="C12" s="9">
        <f>IF(INT((ROW()-4)/Trainingsdaten!$H$4)+1&gt;Trainingsdaten!$H$3,"",MOD(ROW()-4,Trainingsdaten!$H$4)+1)</f>
        <v>9</v>
      </c>
      <c r="D12" s="9" t="str">
        <f>IF($B12&gt;Trainingsdaten!$H$3,"",INDEX(Trainingsdaten!B:B,$C12+1))</f>
        <v>Zwetschge</v>
      </c>
      <c r="E12" s="7">
        <f>IF($B12&gt;Trainingsdaten!$H$3,"",INDEX(Trainingsdaten!C:C,$C12+1))</f>
        <v>8.8000000000000007</v>
      </c>
      <c r="F12" s="7">
        <f>IF($B12&gt;Trainingsdaten!$H$3,"",INDEX(Trainingsdaten!D:D,$C12+1))</f>
        <v>8</v>
      </c>
      <c r="G12" s="7">
        <f>IF($B12&gt;Trainingsdaten!$H$3,"",INDEX(Trainingsdaten!E:E,$C12+1))</f>
        <v>1</v>
      </c>
      <c r="H12" s="11">
        <f>IF($B12&gt;Trainingsdaten!$H$3,"",Trainingsdaten!$H$2)</f>
        <v>0.1</v>
      </c>
      <c r="I12" s="7">
        <f>IF(B12&gt;Trainingsdaten!$H$3,"",I11+H12*N11*E12)</f>
        <v>0.91</v>
      </c>
      <c r="J12" s="7">
        <f>IF(B12&gt;Trainingsdaten!$H$3,"",J11+H12*N11*F12)</f>
        <v>0.83000000000000018</v>
      </c>
      <c r="K12" s="7">
        <f>IF(B12&gt;Trainingsdaten!$H$3,"",K11+H12*N11)</f>
        <v>0.2</v>
      </c>
      <c r="L12" s="7">
        <f>IF(B12&gt;Trainingsdaten!$H$3,"",E12*I12+F12*J12+K12)</f>
        <v>14.848000000000003</v>
      </c>
      <c r="M12" s="7">
        <f>IF(B12&gt;Trainingsdaten!$H$3,"",IF(L12&gt;0,1,0))</f>
        <v>1</v>
      </c>
      <c r="N12" s="7">
        <f>IF(B12&gt;Trainingsdaten!$H$3,"",G12-M12)</f>
        <v>0</v>
      </c>
    </row>
    <row r="13" spans="1:14" x14ac:dyDescent="0.25">
      <c r="A13" s="9">
        <f>IF($B13&gt;Trainingsdaten!$H$3,"",MOD(ROW()-4,Trainingsdaten!$H$4)+1)</f>
        <v>10</v>
      </c>
      <c r="B13" s="11">
        <f>IF(INT((ROW()-4)/Trainingsdaten!$H$4)+1&gt;Trainingsdaten!$H$3,"",INT((ROW()-4)/Trainingsdaten!$H$4)+1)</f>
        <v>1</v>
      </c>
      <c r="C13" s="9">
        <f>IF(INT((ROW()-4)/Trainingsdaten!$H$4)+1&gt;Trainingsdaten!$H$3,"",MOD(ROW()-4,Trainingsdaten!$H$4)+1)</f>
        <v>10</v>
      </c>
      <c r="D13" s="9" t="str">
        <f>IF($B13&gt;Trainingsdaten!$H$3,"",INDEX(Trainingsdaten!B:B,$C13+1))</f>
        <v>Heidelbeere</v>
      </c>
      <c r="E13" s="7">
        <f>IF($B13&gt;Trainingsdaten!$H$3,"",INDEX(Trainingsdaten!C:C,$C13+1))</f>
        <v>10</v>
      </c>
      <c r="F13" s="7">
        <f>IF($B13&gt;Trainingsdaten!$H$3,"",INDEX(Trainingsdaten!D:D,$C13+1))</f>
        <v>5</v>
      </c>
      <c r="G13" s="7">
        <f>IF($B13&gt;Trainingsdaten!$H$3,"",INDEX(Trainingsdaten!E:E,$C13+1))</f>
        <v>1</v>
      </c>
      <c r="H13" s="11">
        <f>IF($B13&gt;Trainingsdaten!$H$3,"",Trainingsdaten!$H$2)</f>
        <v>0.1</v>
      </c>
      <c r="I13" s="7">
        <f>IF(B13&gt;Trainingsdaten!$H$3,"",I12+H13*N12*E13)</f>
        <v>0.91</v>
      </c>
      <c r="J13" s="7">
        <f>IF(B13&gt;Trainingsdaten!$H$3,"",J12+H13*N12*F13)</f>
        <v>0.83000000000000018</v>
      </c>
      <c r="K13" s="7">
        <f>IF(B13&gt;Trainingsdaten!$H$3,"",K12+H13*N12)</f>
        <v>0.2</v>
      </c>
      <c r="L13" s="7">
        <f>IF(B13&gt;Trainingsdaten!$H$3,"",E13*I13+F13*J13+K13)</f>
        <v>13.45</v>
      </c>
      <c r="M13" s="7">
        <f>IF(B13&gt;Trainingsdaten!$H$3,"",IF(L13&gt;0,1,0))</f>
        <v>1</v>
      </c>
      <c r="N13" s="7">
        <f>IF(B13&gt;Trainingsdaten!$H$3,"",G13-M13)</f>
        <v>0</v>
      </c>
    </row>
    <row r="14" spans="1:14" x14ac:dyDescent="0.25">
      <c r="A14" s="9">
        <f>IF($B14&gt;Trainingsdaten!$H$3,"",MOD(ROW()-4,Trainingsdaten!$H$4)+1)</f>
        <v>11</v>
      </c>
      <c r="B14" s="11">
        <f>IF(INT((ROW()-4)/Trainingsdaten!$H$4)+1&gt;Trainingsdaten!$H$3,"",INT((ROW()-4)/Trainingsdaten!$H$4)+1)</f>
        <v>1</v>
      </c>
      <c r="C14" s="9">
        <f>IF(INT((ROW()-4)/Trainingsdaten!$H$4)+1&gt;Trainingsdaten!$H$3,"",MOD(ROW()-4,Trainingsdaten!$H$4)+1)</f>
        <v>11</v>
      </c>
      <c r="D14" s="9" t="str">
        <f>IF($B14&gt;Trainingsdaten!$H$3,"",INDEX(Trainingsdaten!B:B,$C14+1))</f>
        <v>Apfel</v>
      </c>
      <c r="E14" s="7">
        <f>IF($B14&gt;Trainingsdaten!$H$3,"",INDEX(Trainingsdaten!C:C,$C14+1))</f>
        <v>11.5</v>
      </c>
      <c r="F14" s="7">
        <f>IF($B14&gt;Trainingsdaten!$H$3,"",INDEX(Trainingsdaten!D:D,$C14+1))</f>
        <v>6.5</v>
      </c>
      <c r="G14" s="7">
        <f>IF($B14&gt;Trainingsdaten!$H$3,"",INDEX(Trainingsdaten!E:E,$C14+1))</f>
        <v>1</v>
      </c>
      <c r="H14" s="11">
        <f>IF($B14&gt;Trainingsdaten!$H$3,"",Trainingsdaten!$H$2)</f>
        <v>0.1</v>
      </c>
      <c r="I14" s="7">
        <f>IF(B14&gt;Trainingsdaten!$H$3,"",I13+H14*N13*E14)</f>
        <v>0.91</v>
      </c>
      <c r="J14" s="7">
        <f>IF(B14&gt;Trainingsdaten!$H$3,"",J13+H14*N13*F14)</f>
        <v>0.83000000000000018</v>
      </c>
      <c r="K14" s="7">
        <f>IF(B14&gt;Trainingsdaten!$H$3,"",K13+H14*N13)</f>
        <v>0.2</v>
      </c>
      <c r="L14" s="7">
        <f>IF(B14&gt;Trainingsdaten!$H$3,"",E14*I14+F14*J14+K14)</f>
        <v>16.060000000000002</v>
      </c>
      <c r="M14" s="7">
        <f>IF(B14&gt;Trainingsdaten!$H$3,"",IF(L14&gt;0,1,0))</f>
        <v>1</v>
      </c>
      <c r="N14" s="7">
        <f>IF(B14&gt;Trainingsdaten!$H$3,"",G14-M14)</f>
        <v>0</v>
      </c>
    </row>
    <row r="15" spans="1:14" x14ac:dyDescent="0.25">
      <c r="A15" s="9">
        <f>IF($B15&gt;Trainingsdaten!$H$3,"",MOD(ROW()-4,Trainingsdaten!$H$4)+1)</f>
        <v>12</v>
      </c>
      <c r="B15" s="11">
        <f>IF(INT((ROW()-4)/Trainingsdaten!$H$4)+1&gt;Trainingsdaten!$H$3,"",INT((ROW()-4)/Trainingsdaten!$H$4)+1)</f>
        <v>1</v>
      </c>
      <c r="C15" s="9">
        <f>IF(INT((ROW()-4)/Trainingsdaten!$H$4)+1&gt;Trainingsdaten!$H$3,"",MOD(ROW()-4,Trainingsdaten!$H$4)+1)</f>
        <v>12</v>
      </c>
      <c r="D15" s="9" t="str">
        <f>IF($B15&gt;Trainingsdaten!$H$3,"",INDEX(Trainingsdaten!B:B,$C15+1))</f>
        <v>Mangold</v>
      </c>
      <c r="E15" s="7">
        <f>IF($B15&gt;Trainingsdaten!$H$3,"",INDEX(Trainingsdaten!C:C,$C15+1))</f>
        <v>0.5</v>
      </c>
      <c r="F15" s="7">
        <f>IF($B15&gt;Trainingsdaten!$H$3,"",INDEX(Trainingsdaten!D:D,$C15+1))</f>
        <v>81</v>
      </c>
      <c r="G15" s="7">
        <f>IF($B15&gt;Trainingsdaten!$H$3,"",INDEX(Trainingsdaten!E:E,$C15+1))</f>
        <v>0</v>
      </c>
      <c r="H15" s="11">
        <f>IF($B15&gt;Trainingsdaten!$H$3,"",Trainingsdaten!$H$2)</f>
        <v>0.1</v>
      </c>
      <c r="I15" s="7">
        <f>IF(B15&gt;Trainingsdaten!$H$3,"",I14+H15*N14*E15)</f>
        <v>0.91</v>
      </c>
      <c r="J15" s="7">
        <f>IF(B15&gt;Trainingsdaten!$H$3,"",J14+H15*N14*F15)</f>
        <v>0.83000000000000018</v>
      </c>
      <c r="K15" s="7">
        <f>IF(B15&gt;Trainingsdaten!$H$3,"",K14+H15*N14)</f>
        <v>0.2</v>
      </c>
      <c r="L15" s="7">
        <f>IF(B15&gt;Trainingsdaten!$H$3,"",E15*I15+F15*J15+K15)</f>
        <v>67.885000000000019</v>
      </c>
      <c r="M15" s="7">
        <f>IF(B15&gt;Trainingsdaten!$H$3,"",IF(L15&gt;0,1,0))</f>
        <v>1</v>
      </c>
      <c r="N15" s="7">
        <f>IF(B15&gt;Trainingsdaten!$H$3,"",G15-M15)</f>
        <v>-1</v>
      </c>
    </row>
    <row r="16" spans="1:14" x14ac:dyDescent="0.25">
      <c r="A16" s="9">
        <f>IF($B16&gt;Trainingsdaten!$H$3,"",MOD(ROW()-4,Trainingsdaten!$H$4)+1)</f>
        <v>13</v>
      </c>
      <c r="B16" s="11">
        <f>IF(INT((ROW()-4)/Trainingsdaten!$H$4)+1&gt;Trainingsdaten!$H$3,"",INT((ROW()-4)/Trainingsdaten!$H$4)+1)</f>
        <v>1</v>
      </c>
      <c r="C16" s="9">
        <f>IF(INT((ROW()-4)/Trainingsdaten!$H$4)+1&gt;Trainingsdaten!$H$3,"",MOD(ROW()-4,Trainingsdaten!$H$4)+1)</f>
        <v>13</v>
      </c>
      <c r="D16" s="9" t="str">
        <f>IF($B16&gt;Trainingsdaten!$H$3,"",INDEX(Trainingsdaten!B:B,$C16+1))</f>
        <v>Schnittlauch</v>
      </c>
      <c r="E16" s="7">
        <f>IF($B16&gt;Trainingsdaten!$H$3,"",INDEX(Trainingsdaten!C:C,$C16+1))</f>
        <v>1.9</v>
      </c>
      <c r="F16" s="7">
        <f>IF($B16&gt;Trainingsdaten!$H$3,"",INDEX(Trainingsdaten!D:D,$C16+1))</f>
        <v>40</v>
      </c>
      <c r="G16" s="7">
        <f>IF($B16&gt;Trainingsdaten!$H$3,"",INDEX(Trainingsdaten!E:E,$C16+1))</f>
        <v>0</v>
      </c>
      <c r="H16" s="11">
        <f>IF($B16&gt;Trainingsdaten!$H$3,"",Trainingsdaten!$H$2)</f>
        <v>0.1</v>
      </c>
      <c r="I16" s="7">
        <f>IF(B16&gt;Trainingsdaten!$H$3,"",I15+H16*N15*E16)</f>
        <v>0.72</v>
      </c>
      <c r="J16" s="7">
        <f>IF(B16&gt;Trainingsdaten!$H$3,"",J15+H16*N15*F16)</f>
        <v>-3.17</v>
      </c>
      <c r="K16" s="7">
        <f>IF(B16&gt;Trainingsdaten!$H$3,"",K15+H16*N15)</f>
        <v>0.1</v>
      </c>
      <c r="L16" s="7">
        <f>IF(B16&gt;Trainingsdaten!$H$3,"",E16*I16+F16*J16+K16)</f>
        <v>-125.33200000000001</v>
      </c>
      <c r="M16" s="7">
        <f>IF(B16&gt;Trainingsdaten!$H$3,"",IF(L16&gt;0,1,0))</f>
        <v>0</v>
      </c>
      <c r="N16" s="7">
        <f>IF(B16&gt;Trainingsdaten!$H$3,"",G16-M16)</f>
        <v>0</v>
      </c>
    </row>
    <row r="17" spans="1:14" x14ac:dyDescent="0.25">
      <c r="A17" s="9">
        <f>IF($B17&gt;Trainingsdaten!$H$3,"",MOD(ROW()-4,Trainingsdaten!$H$4)+1)</f>
        <v>14</v>
      </c>
      <c r="B17" s="11">
        <f>IF(INT((ROW()-4)/Trainingsdaten!$H$4)+1&gt;Trainingsdaten!$H$3,"",INT((ROW()-4)/Trainingsdaten!$H$4)+1)</f>
        <v>1</v>
      </c>
      <c r="C17" s="9">
        <f>IF(INT((ROW()-4)/Trainingsdaten!$H$4)+1&gt;Trainingsdaten!$H$3,"",MOD(ROW()-4,Trainingsdaten!$H$4)+1)</f>
        <v>14</v>
      </c>
      <c r="D17" s="9" t="str">
        <f>IF($B17&gt;Trainingsdaten!$H$3,"",INDEX(Trainingsdaten!B:B,$C17+1))</f>
        <v>Gartensalat</v>
      </c>
      <c r="E17" s="7">
        <f>IF($B17&gt;Trainingsdaten!$H$3,"",INDEX(Trainingsdaten!C:C,$C17+1))</f>
        <v>1.3</v>
      </c>
      <c r="F17" s="7">
        <f>IF($B17&gt;Trainingsdaten!$H$3,"",INDEX(Trainingsdaten!D:D,$C17+1))</f>
        <v>11</v>
      </c>
      <c r="G17" s="7">
        <f>IF($B17&gt;Trainingsdaten!$H$3,"",INDEX(Trainingsdaten!E:E,$C17+1))</f>
        <v>0</v>
      </c>
      <c r="H17" s="11">
        <f>IF($B17&gt;Trainingsdaten!$H$3,"",Trainingsdaten!$H$2)</f>
        <v>0.1</v>
      </c>
      <c r="I17" s="7">
        <f>IF(B17&gt;Trainingsdaten!$H$3,"",I16+H17*N16*E17)</f>
        <v>0.72</v>
      </c>
      <c r="J17" s="7">
        <f>IF(B17&gt;Trainingsdaten!$H$3,"",J16+H17*N16*F17)</f>
        <v>-3.17</v>
      </c>
      <c r="K17" s="7">
        <f>IF(B17&gt;Trainingsdaten!$H$3,"",K16+H17*N16)</f>
        <v>0.1</v>
      </c>
      <c r="L17" s="7">
        <f>IF(B17&gt;Trainingsdaten!$H$3,"",E17*I17+F17*J17+K17)</f>
        <v>-33.833999999999996</v>
      </c>
      <c r="M17" s="7">
        <f>IF(B17&gt;Trainingsdaten!$H$3,"",IF(L17&gt;0,1,0))</f>
        <v>0</v>
      </c>
      <c r="N17" s="7">
        <f>IF(B17&gt;Trainingsdaten!$H$3,"",G17-M17)</f>
        <v>0</v>
      </c>
    </row>
    <row r="18" spans="1:14" x14ac:dyDescent="0.25">
      <c r="A18" s="9">
        <f>IF($B18&gt;Trainingsdaten!$H$3,"",MOD(ROW()-4,Trainingsdaten!$H$4)+1)</f>
        <v>15</v>
      </c>
      <c r="B18" s="11">
        <f>IF(INT((ROW()-4)/Trainingsdaten!$H$4)+1&gt;Trainingsdaten!$H$3,"",INT((ROW()-4)/Trainingsdaten!$H$4)+1)</f>
        <v>1</v>
      </c>
      <c r="C18" s="9">
        <f>IF(INT((ROW()-4)/Trainingsdaten!$H$4)+1&gt;Trainingsdaten!$H$3,"",MOD(ROW()-4,Trainingsdaten!$H$4)+1)</f>
        <v>15</v>
      </c>
      <c r="D18" s="9" t="str">
        <f>IF($B18&gt;Trainingsdaten!$H$3,"",INDEX(Trainingsdaten!B:B,$C18+1))</f>
        <v>Lauch</v>
      </c>
      <c r="E18" s="7">
        <f>IF($B18&gt;Trainingsdaten!$H$3,"",INDEX(Trainingsdaten!C:C,$C18+1))</f>
        <v>3.5</v>
      </c>
      <c r="F18" s="7">
        <f>IF($B18&gt;Trainingsdaten!$H$3,"",INDEX(Trainingsdaten!D:D,$C18+1))</f>
        <v>8.8000000000000007</v>
      </c>
      <c r="G18" s="7">
        <f>IF($B18&gt;Trainingsdaten!$H$3,"",INDEX(Trainingsdaten!E:E,$C18+1))</f>
        <v>0</v>
      </c>
      <c r="H18" s="11">
        <f>IF($B18&gt;Trainingsdaten!$H$3,"",Trainingsdaten!$H$2)</f>
        <v>0.1</v>
      </c>
      <c r="I18" s="7">
        <f>IF(B18&gt;Trainingsdaten!$H$3,"",I17+H18*N17*E18)</f>
        <v>0.72</v>
      </c>
      <c r="J18" s="7">
        <f>IF(B18&gt;Trainingsdaten!$H$3,"",J17+H18*N17*F18)</f>
        <v>-3.17</v>
      </c>
      <c r="K18" s="7">
        <f>IF(B18&gt;Trainingsdaten!$H$3,"",K17+H18*N17)</f>
        <v>0.1</v>
      </c>
      <c r="L18" s="7">
        <f>IF(B18&gt;Trainingsdaten!$H$3,"",E18*I18+F18*J18+K18)</f>
        <v>-25.276</v>
      </c>
      <c r="M18" s="7">
        <f>IF(B18&gt;Trainingsdaten!$H$3,"",IF(L18&gt;0,1,0))</f>
        <v>0</v>
      </c>
      <c r="N18" s="7">
        <f>IF(B18&gt;Trainingsdaten!$H$3,"",G18-M18)</f>
        <v>0</v>
      </c>
    </row>
    <row r="19" spans="1:14" x14ac:dyDescent="0.25">
      <c r="A19" s="9">
        <f>IF($B19&gt;Trainingsdaten!$H$3,"",MOD(ROW()-4,Trainingsdaten!$H$4)+1)</f>
        <v>16</v>
      </c>
      <c r="B19" s="11">
        <f>IF(INT((ROW()-4)/Trainingsdaten!$H$4)+1&gt;Trainingsdaten!$H$3,"",INT((ROW()-4)/Trainingsdaten!$H$4)+1)</f>
        <v>1</v>
      </c>
      <c r="C19" s="9">
        <f>IF(INT((ROW()-4)/Trainingsdaten!$H$4)+1&gt;Trainingsdaten!$H$3,"",MOD(ROW()-4,Trainingsdaten!$H$4)+1)</f>
        <v>16</v>
      </c>
      <c r="D19" s="9" t="str">
        <f>IF($B19&gt;Trainingsdaten!$H$3,"",INDEX(Trainingsdaten!B:B,$C19+1))</f>
        <v>Rote Peperoni</v>
      </c>
      <c r="E19" s="7">
        <f>IF($B19&gt;Trainingsdaten!$H$3,"",INDEX(Trainingsdaten!C:C,$C19+1))</f>
        <v>5.0999999999999996</v>
      </c>
      <c r="F19" s="7">
        <f>IF($B19&gt;Trainingsdaten!$H$3,"",INDEX(Trainingsdaten!D:D,$C19+1))</f>
        <v>12</v>
      </c>
      <c r="G19" s="7">
        <f>IF($B19&gt;Trainingsdaten!$H$3,"",INDEX(Trainingsdaten!E:E,$C19+1))</f>
        <v>0</v>
      </c>
      <c r="H19" s="11">
        <f>IF($B19&gt;Trainingsdaten!$H$3,"",Trainingsdaten!$H$2)</f>
        <v>0.1</v>
      </c>
      <c r="I19" s="7">
        <f>IF(B19&gt;Trainingsdaten!$H$3,"",I18+H19*N18*E19)</f>
        <v>0.72</v>
      </c>
      <c r="J19" s="7">
        <f>IF(B19&gt;Trainingsdaten!$H$3,"",J18+H19*N18*F19)</f>
        <v>-3.17</v>
      </c>
      <c r="K19" s="7">
        <f>IF(B19&gt;Trainingsdaten!$H$3,"",K18+H19*N18)</f>
        <v>0.1</v>
      </c>
      <c r="L19" s="7">
        <f>IF(B19&gt;Trainingsdaten!$H$3,"",E19*I19+F19*J19+K19)</f>
        <v>-34.268000000000001</v>
      </c>
      <c r="M19" s="7">
        <f>IF(B19&gt;Trainingsdaten!$H$3,"",IF(L19&gt;0,1,0))</f>
        <v>0</v>
      </c>
      <c r="N19" s="7">
        <f>IF(B19&gt;Trainingsdaten!$H$3,"",G19-M19)</f>
        <v>0</v>
      </c>
    </row>
    <row r="20" spans="1:14" x14ac:dyDescent="0.25">
      <c r="A20" s="9">
        <f>IF($B20&gt;Trainingsdaten!$H$3,"",MOD(ROW()-4,Trainingsdaten!$H$4)+1)</f>
        <v>17</v>
      </c>
      <c r="B20" s="11">
        <f>IF(INT((ROW()-4)/Trainingsdaten!$H$4)+1&gt;Trainingsdaten!$H$3,"",INT((ROW()-4)/Trainingsdaten!$H$4)+1)</f>
        <v>1</v>
      </c>
      <c r="C20" s="9">
        <f>IF(INT((ROW()-4)/Trainingsdaten!$H$4)+1&gt;Trainingsdaten!$H$3,"",MOD(ROW()-4,Trainingsdaten!$H$4)+1)</f>
        <v>17</v>
      </c>
      <c r="D20" s="9" t="str">
        <f>IF($B20&gt;Trainingsdaten!$H$3,"",INDEX(Trainingsdaten!B:B,$C20+1))</f>
        <v>Grünkohl</v>
      </c>
      <c r="E20" s="7">
        <f>IF($B20&gt;Trainingsdaten!$H$3,"",INDEX(Trainingsdaten!C:C,$C20+1))</f>
        <v>2.5</v>
      </c>
      <c r="F20" s="7">
        <f>IF($B20&gt;Trainingsdaten!$H$3,"",INDEX(Trainingsdaten!D:D,$C20+1))</f>
        <v>38</v>
      </c>
      <c r="G20" s="7">
        <f>IF($B20&gt;Trainingsdaten!$H$3,"",INDEX(Trainingsdaten!E:E,$C20+1))</f>
        <v>0</v>
      </c>
      <c r="H20" s="11">
        <f>IF($B20&gt;Trainingsdaten!$H$3,"",Trainingsdaten!$H$2)</f>
        <v>0.1</v>
      </c>
      <c r="I20" s="7">
        <f>IF(B20&gt;Trainingsdaten!$H$3,"",I19+H20*N19*E20)</f>
        <v>0.72</v>
      </c>
      <c r="J20" s="7">
        <f>IF(B20&gt;Trainingsdaten!$H$3,"",J19+H20*N19*F20)</f>
        <v>-3.17</v>
      </c>
      <c r="K20" s="7">
        <f>IF(B20&gt;Trainingsdaten!$H$3,"",K19+H20*N19)</f>
        <v>0.1</v>
      </c>
      <c r="L20" s="7">
        <f>IF(B20&gt;Trainingsdaten!$H$3,"",E20*I20+F20*J20+K20)</f>
        <v>-118.56</v>
      </c>
      <c r="M20" s="7">
        <f>IF(B20&gt;Trainingsdaten!$H$3,"",IF(L20&gt;0,1,0))</f>
        <v>0</v>
      </c>
      <c r="N20" s="7">
        <f>IF(B20&gt;Trainingsdaten!$H$3,"",G20-M20)</f>
        <v>0</v>
      </c>
    </row>
    <row r="21" spans="1:14" x14ac:dyDescent="0.25">
      <c r="A21" s="9">
        <f>IF($B21&gt;Trainingsdaten!$H$3,"",MOD(ROW()-4,Trainingsdaten!$H$4)+1)</f>
        <v>18</v>
      </c>
      <c r="B21" s="11">
        <f>IF(INT((ROW()-4)/Trainingsdaten!$H$4)+1&gt;Trainingsdaten!$H$3,"",INT((ROW()-4)/Trainingsdaten!$H$4)+1)</f>
        <v>1</v>
      </c>
      <c r="C21" s="9">
        <f>IF(INT((ROW()-4)/Trainingsdaten!$H$4)+1&gt;Trainingsdaten!$H$3,"",MOD(ROW()-4,Trainingsdaten!$H$4)+1)</f>
        <v>18</v>
      </c>
      <c r="D21" s="9" t="str">
        <f>IF($B21&gt;Trainingsdaten!$H$3,"",INDEX(Trainingsdaten!B:B,$C21+1))</f>
        <v>Schwarzwurzel</v>
      </c>
      <c r="E21" s="7">
        <f>IF($B21&gt;Trainingsdaten!$H$3,"",INDEX(Trainingsdaten!C:C,$C21+1))</f>
        <v>2</v>
      </c>
      <c r="F21" s="7">
        <f>IF($B21&gt;Trainingsdaten!$H$3,"",INDEX(Trainingsdaten!D:D,$C21+1))</f>
        <v>24</v>
      </c>
      <c r="G21" s="7">
        <f>IF($B21&gt;Trainingsdaten!$H$3,"",INDEX(Trainingsdaten!E:E,$C21+1))</f>
        <v>0</v>
      </c>
      <c r="H21" s="11">
        <f>IF($B21&gt;Trainingsdaten!$H$3,"",Trainingsdaten!$H$2)</f>
        <v>0.1</v>
      </c>
      <c r="I21" s="7">
        <f>IF(B21&gt;Trainingsdaten!$H$3,"",I20+H21*N20*E21)</f>
        <v>0.72</v>
      </c>
      <c r="J21" s="7">
        <f>IF(B21&gt;Trainingsdaten!$H$3,"",J20+H21*N20*F21)</f>
        <v>-3.17</v>
      </c>
      <c r="K21" s="7">
        <f>IF(B21&gt;Trainingsdaten!$H$3,"",K20+H21*N20)</f>
        <v>0.1</v>
      </c>
      <c r="L21" s="7">
        <f>IF(B21&gt;Trainingsdaten!$H$3,"",E21*I21+F21*J21+K21)</f>
        <v>-74.540000000000006</v>
      </c>
      <c r="M21" s="7">
        <f>IF(B21&gt;Trainingsdaten!$H$3,"",IF(L21&gt;0,1,0))</f>
        <v>0</v>
      </c>
      <c r="N21" s="7">
        <f>IF(B21&gt;Trainingsdaten!$H$3,"",G21-M21)</f>
        <v>0</v>
      </c>
    </row>
    <row r="22" spans="1:14" x14ac:dyDescent="0.25">
      <c r="A22" s="9">
        <f>IF($B22&gt;Trainingsdaten!$H$3,"",MOD(ROW()-4,Trainingsdaten!$H$4)+1)</f>
        <v>19</v>
      </c>
      <c r="B22" s="11">
        <f>IF(INT((ROW()-4)/Trainingsdaten!$H$4)+1&gt;Trainingsdaten!$H$3,"",INT((ROW()-4)/Trainingsdaten!$H$4)+1)</f>
        <v>1</v>
      </c>
      <c r="C22" s="9">
        <f>IF(INT((ROW()-4)/Trainingsdaten!$H$4)+1&gt;Trainingsdaten!$H$3,"",MOD(ROW()-4,Trainingsdaten!$H$4)+1)</f>
        <v>19</v>
      </c>
      <c r="D22" s="9" t="str">
        <f>IF($B22&gt;Trainingsdaten!$H$3,"",INDEX(Trainingsdaten!B:B,$C22+1))</f>
        <v>Erbsen</v>
      </c>
      <c r="E22" s="7">
        <f>IF($B22&gt;Trainingsdaten!$H$3,"",INDEX(Trainingsdaten!C:C,$C22+1))</f>
        <v>5.5</v>
      </c>
      <c r="F22" s="7">
        <f>IF($B22&gt;Trainingsdaten!$H$3,"",INDEX(Trainingsdaten!D:D,$C22+1))</f>
        <v>34</v>
      </c>
      <c r="G22" s="7">
        <f>IF($B22&gt;Trainingsdaten!$H$3,"",INDEX(Trainingsdaten!E:E,$C22+1))</f>
        <v>0</v>
      </c>
      <c r="H22" s="11">
        <f>IF($B22&gt;Trainingsdaten!$H$3,"",Trainingsdaten!$H$2)</f>
        <v>0.1</v>
      </c>
      <c r="I22" s="7">
        <f>IF(B22&gt;Trainingsdaten!$H$3,"",I21+H22*N21*E22)</f>
        <v>0.72</v>
      </c>
      <c r="J22" s="7">
        <f>IF(B22&gt;Trainingsdaten!$H$3,"",J21+H22*N21*F22)</f>
        <v>-3.17</v>
      </c>
      <c r="K22" s="7">
        <f>IF(B22&gt;Trainingsdaten!$H$3,"",K21+H22*N21)</f>
        <v>0.1</v>
      </c>
      <c r="L22" s="7">
        <f>IF(B22&gt;Trainingsdaten!$H$3,"",E22*I22+F22*J22+K22)</f>
        <v>-103.72000000000001</v>
      </c>
      <c r="M22" s="7">
        <f>IF(B22&gt;Trainingsdaten!$H$3,"",IF(L22&gt;0,1,0))</f>
        <v>0</v>
      </c>
      <c r="N22" s="7">
        <f>IF(B22&gt;Trainingsdaten!$H$3,"",G22-M22)</f>
        <v>0</v>
      </c>
    </row>
    <row r="23" spans="1:14" x14ac:dyDescent="0.25">
      <c r="A23" s="9">
        <f>IF($B23&gt;Trainingsdaten!$H$3,"",MOD(ROW()-4,Trainingsdaten!$H$4)+1)</f>
        <v>20</v>
      </c>
      <c r="B23" s="11">
        <f>IF(INT((ROW()-4)/Trainingsdaten!$H$4)+1&gt;Trainingsdaten!$H$3,"",INT((ROW()-4)/Trainingsdaten!$H$4)+1)</f>
        <v>1</v>
      </c>
      <c r="C23" s="9">
        <f>IF(INT((ROW()-4)/Trainingsdaten!$H$4)+1&gt;Trainingsdaten!$H$3,"",MOD(ROW()-4,Trainingsdaten!$H$4)+1)</f>
        <v>20</v>
      </c>
      <c r="D23" s="9" t="str">
        <f>IF($B23&gt;Trainingsdaten!$H$3,"",INDEX(Trainingsdaten!B:B,$C23+1))</f>
        <v>Zucchini</v>
      </c>
      <c r="E23" s="7">
        <f>IF($B23&gt;Trainingsdaten!$H$3,"",INDEX(Trainingsdaten!C:C,$C23+1))</f>
        <v>1.9</v>
      </c>
      <c r="F23" s="7">
        <f>IF($B23&gt;Trainingsdaten!$H$3,"",INDEX(Trainingsdaten!D:D,$C23+1))</f>
        <v>23</v>
      </c>
      <c r="G23" s="7">
        <f>IF($B23&gt;Trainingsdaten!$H$3,"",INDEX(Trainingsdaten!E:E,$C23+1))</f>
        <v>0</v>
      </c>
      <c r="H23" s="11">
        <f>IF($B23&gt;Trainingsdaten!$H$3,"",Trainingsdaten!$H$2)</f>
        <v>0.1</v>
      </c>
      <c r="I23" s="7">
        <f>IF(B23&gt;Trainingsdaten!$H$3,"",I22+H23*N22*E23)</f>
        <v>0.72</v>
      </c>
      <c r="J23" s="7">
        <f>IF(B23&gt;Trainingsdaten!$H$3,"",J22+H23*N22*F23)</f>
        <v>-3.17</v>
      </c>
      <c r="K23" s="7">
        <f>IF(B23&gt;Trainingsdaten!$H$3,"",K22+H23*N22)</f>
        <v>0.1</v>
      </c>
      <c r="L23" s="7">
        <f>IF(B23&gt;Trainingsdaten!$H$3,"",E23*I23+F23*J23+K23)</f>
        <v>-71.442000000000007</v>
      </c>
      <c r="M23" s="7">
        <f>IF(B23&gt;Trainingsdaten!$H$3,"",IF(L23&gt;0,1,0))</f>
        <v>0</v>
      </c>
      <c r="N23" s="7">
        <f>IF(B23&gt;Trainingsdaten!$H$3,"",G23-M23)</f>
        <v>0</v>
      </c>
    </row>
    <row r="24" spans="1:14" x14ac:dyDescent="0.25">
      <c r="A24" s="9">
        <f>IF($B24&gt;Trainingsdaten!$H$3,"",MOD(ROW()-4,Trainingsdaten!$H$4)+1)</f>
        <v>21</v>
      </c>
      <c r="B24" s="11">
        <f>IF(INT((ROW()-4)/Trainingsdaten!$H$4)+1&gt;Trainingsdaten!$H$3,"",INT((ROW()-4)/Trainingsdaten!$H$4)+1)</f>
        <v>1</v>
      </c>
      <c r="C24" s="9">
        <f>IF(INT((ROW()-4)/Trainingsdaten!$H$4)+1&gt;Trainingsdaten!$H$3,"",MOD(ROW()-4,Trainingsdaten!$H$4)+1)</f>
        <v>21</v>
      </c>
      <c r="D24" s="9" t="str">
        <f>IF($B24&gt;Trainingsdaten!$H$3,"",INDEX(Trainingsdaten!B:B,$C24+1))</f>
        <v>Aubergine</v>
      </c>
      <c r="E24" s="7">
        <f>IF($B24&gt;Trainingsdaten!$H$3,"",INDEX(Trainingsdaten!C:C,$C24+1))</f>
        <v>2.4</v>
      </c>
      <c r="F24" s="7">
        <f>IF($B24&gt;Trainingsdaten!$H$3,"",INDEX(Trainingsdaten!D:D,$C24+1))</f>
        <v>14</v>
      </c>
      <c r="G24" s="7">
        <f>IF($B24&gt;Trainingsdaten!$H$3,"",INDEX(Trainingsdaten!E:E,$C24+1))</f>
        <v>0</v>
      </c>
      <c r="H24" s="11">
        <f>IF($B24&gt;Trainingsdaten!$H$3,"",Trainingsdaten!$H$2)</f>
        <v>0.1</v>
      </c>
      <c r="I24" s="7">
        <f>IF(B24&gt;Trainingsdaten!$H$3,"",I23+H24*N23*E24)</f>
        <v>0.72</v>
      </c>
      <c r="J24" s="7">
        <f>IF(B24&gt;Trainingsdaten!$H$3,"",J23+H24*N23*F24)</f>
        <v>-3.17</v>
      </c>
      <c r="K24" s="7">
        <f>IF(B24&gt;Trainingsdaten!$H$3,"",K23+H24*N23)</f>
        <v>0.1</v>
      </c>
      <c r="L24" s="7">
        <f>IF(B24&gt;Trainingsdaten!$H$3,"",E24*I24+F24*J24+K24)</f>
        <v>-42.551999999999992</v>
      </c>
      <c r="M24" s="7">
        <f>IF(B24&gt;Trainingsdaten!$H$3,"",IF(L24&gt;0,1,0))</f>
        <v>0</v>
      </c>
      <c r="N24" s="7">
        <f>IF(B24&gt;Trainingsdaten!$H$3,"",G24-M24)</f>
        <v>0</v>
      </c>
    </row>
    <row r="25" spans="1:14" x14ac:dyDescent="0.25">
      <c r="A25" s="9">
        <f>IF($B25&gt;Trainingsdaten!$H$3,"",MOD(ROW()-4,Trainingsdaten!$H$4)+1)</f>
        <v>22</v>
      </c>
      <c r="B25" s="11">
        <f>IF(INT((ROW()-4)/Trainingsdaten!$H$4)+1&gt;Trainingsdaten!$H$3,"",INT((ROW()-4)/Trainingsdaten!$H$4)+1)</f>
        <v>1</v>
      </c>
      <c r="C25" s="9">
        <f>IF(INT((ROW()-4)/Trainingsdaten!$H$4)+1&gt;Trainingsdaten!$H$3,"",MOD(ROW()-4,Trainingsdaten!$H$4)+1)</f>
        <v>22</v>
      </c>
      <c r="D25" s="9" t="str">
        <f>IF($B25&gt;Trainingsdaten!$H$3,"",INDEX(Trainingsdaten!B:B,$C25+1))</f>
        <v>Fenchel</v>
      </c>
      <c r="E25" s="7">
        <f>IF($B25&gt;Trainingsdaten!$H$3,"",INDEX(Trainingsdaten!C:C,$C25+1))</f>
        <v>0.1</v>
      </c>
      <c r="F25" s="7">
        <f>IF($B25&gt;Trainingsdaten!$H$3,"",INDEX(Trainingsdaten!D:D,$C25+1))</f>
        <v>12</v>
      </c>
      <c r="G25" s="7">
        <f>IF($B25&gt;Trainingsdaten!$H$3,"",INDEX(Trainingsdaten!E:E,$C25+1))</f>
        <v>0</v>
      </c>
      <c r="H25" s="11">
        <f>IF($B25&gt;Trainingsdaten!$H$3,"",Trainingsdaten!$H$2)</f>
        <v>0.1</v>
      </c>
      <c r="I25" s="7">
        <f>IF(B25&gt;Trainingsdaten!$H$3,"",I24+H25*N24*E25)</f>
        <v>0.72</v>
      </c>
      <c r="J25" s="7">
        <f>IF(B25&gt;Trainingsdaten!$H$3,"",J24+H25*N24*F25)</f>
        <v>-3.17</v>
      </c>
      <c r="K25" s="7">
        <f>IF(B25&gt;Trainingsdaten!$H$3,"",K24+H25*N24)</f>
        <v>0.1</v>
      </c>
      <c r="L25" s="7">
        <f>IF(B25&gt;Trainingsdaten!$H$3,"",E25*I25+F25*J25+K25)</f>
        <v>-37.867999999999995</v>
      </c>
      <c r="M25" s="7">
        <f>IF(B25&gt;Trainingsdaten!$H$3,"",IF(L25&gt;0,1,0))</f>
        <v>0</v>
      </c>
      <c r="N25" s="7">
        <f>IF(B25&gt;Trainingsdaten!$H$3,"",G25-M25)</f>
        <v>0</v>
      </c>
    </row>
    <row r="26" spans="1:14" x14ac:dyDescent="0.25">
      <c r="A26" s="9">
        <f>IF($B26&gt;Trainingsdaten!$H$3,"",MOD(ROW()-4,Trainingsdaten!$H$4)+1)</f>
        <v>1</v>
      </c>
      <c r="B26" s="11">
        <f>IF(INT((ROW()-4)/Trainingsdaten!$H$4)+1&gt;Trainingsdaten!$H$3,"",INT((ROW()-4)/Trainingsdaten!$H$4)+1)</f>
        <v>2</v>
      </c>
      <c r="C26" s="9">
        <f>IF(INT((ROW()-4)/Trainingsdaten!$H$4)+1&gt;Trainingsdaten!$H$3,"",MOD(ROW()-4,Trainingsdaten!$H$4)+1)</f>
        <v>1</v>
      </c>
      <c r="D26" s="9" t="str">
        <f>IF($B26&gt;Trainingsdaten!$H$3,"",INDEX(Trainingsdaten!B:B,$C26+1))</f>
        <v>Ananas</v>
      </c>
      <c r="E26" s="7">
        <f>IF($B26&gt;Trainingsdaten!$H$3,"",INDEX(Trainingsdaten!C:C,$C26+1))</f>
        <v>10.5</v>
      </c>
      <c r="F26" s="7">
        <f>IF($B26&gt;Trainingsdaten!$H$3,"",INDEX(Trainingsdaten!D:D,$C26+1))</f>
        <v>11</v>
      </c>
      <c r="G26" s="7">
        <f>IF($B26&gt;Trainingsdaten!$H$3,"",INDEX(Trainingsdaten!E:E,$C26+1))</f>
        <v>1</v>
      </c>
      <c r="H26" s="11">
        <f>IF($B26&gt;Trainingsdaten!$H$3,"",Trainingsdaten!$H$2)</f>
        <v>0.1</v>
      </c>
      <c r="I26" s="7">
        <f>IF(B26&gt;Trainingsdaten!$H$3,"",I25+H26*N25*E26)</f>
        <v>0.72</v>
      </c>
      <c r="J26" s="7">
        <f>IF(B26&gt;Trainingsdaten!$H$3,"",J25+H26*N25*F26)</f>
        <v>-3.17</v>
      </c>
      <c r="K26" s="7">
        <f>IF(B26&gt;Trainingsdaten!$H$3,"",K25+H26*N25)</f>
        <v>0.1</v>
      </c>
      <c r="L26" s="7">
        <f>IF(B26&gt;Trainingsdaten!$H$3,"",E26*I26+F26*J26+K26)</f>
        <v>-27.209999999999997</v>
      </c>
      <c r="M26" s="7">
        <f>IF(B26&gt;Trainingsdaten!$H$3,"",IF(L26&gt;0,1,0))</f>
        <v>0</v>
      </c>
      <c r="N26" s="7">
        <f>IF(B26&gt;Trainingsdaten!$H$3,"",G26-M26)</f>
        <v>1</v>
      </c>
    </row>
    <row r="27" spans="1:14" x14ac:dyDescent="0.25">
      <c r="A27" s="9">
        <f>IF($B27&gt;Trainingsdaten!$H$3,"",MOD(ROW()-4,Trainingsdaten!$H$4)+1)</f>
        <v>2</v>
      </c>
      <c r="B27" s="11">
        <f>IF(INT((ROW()-4)/Trainingsdaten!$H$4)+1&gt;Trainingsdaten!$H$3,"",INT((ROW()-4)/Trainingsdaten!$H$4)+1)</f>
        <v>2</v>
      </c>
      <c r="C27" s="9">
        <f>IF(INT((ROW()-4)/Trainingsdaten!$H$4)+1&gt;Trainingsdaten!$H$3,"",MOD(ROW()-4,Trainingsdaten!$H$4)+1)</f>
        <v>2</v>
      </c>
      <c r="D27" s="9" t="str">
        <f>IF($B27&gt;Trainingsdaten!$H$3,"",INDEX(Trainingsdaten!B:B,$C27+1))</f>
        <v>Mandarine</v>
      </c>
      <c r="E27" s="7">
        <f>IF($B27&gt;Trainingsdaten!$H$3,"",INDEX(Trainingsdaten!C:C,$C27+1))</f>
        <v>8.6</v>
      </c>
      <c r="F27" s="7">
        <f>IF($B27&gt;Trainingsdaten!$H$3,"",INDEX(Trainingsdaten!D:D,$C27+1))</f>
        <v>9.3000000000000007</v>
      </c>
      <c r="G27" s="7">
        <f>IF($B27&gt;Trainingsdaten!$H$3,"",INDEX(Trainingsdaten!E:E,$C27+1))</f>
        <v>1</v>
      </c>
      <c r="H27" s="11">
        <f>IF($B27&gt;Trainingsdaten!$H$3,"",Trainingsdaten!$H$2)</f>
        <v>0.1</v>
      </c>
      <c r="I27" s="7">
        <f>IF(B27&gt;Trainingsdaten!$H$3,"",I26+H27*N26*E27)</f>
        <v>1.58</v>
      </c>
      <c r="J27" s="7">
        <f>IF(B27&gt;Trainingsdaten!$H$3,"",J26+H27*N26*F27)</f>
        <v>-2.2399999999999998</v>
      </c>
      <c r="K27" s="7">
        <f>IF(B27&gt;Trainingsdaten!$H$3,"",K26+H27*N26)</f>
        <v>0.2</v>
      </c>
      <c r="L27" s="7">
        <f>IF(B27&gt;Trainingsdaten!$H$3,"",E27*I27+F27*J27+K27)</f>
        <v>-7.0440000000000014</v>
      </c>
      <c r="M27" s="7">
        <f>IF(B27&gt;Trainingsdaten!$H$3,"",IF(L27&gt;0,1,0))</f>
        <v>0</v>
      </c>
      <c r="N27" s="7">
        <f>IF(B27&gt;Trainingsdaten!$H$3,"",G27-M27)</f>
        <v>1</v>
      </c>
    </row>
    <row r="28" spans="1:14" x14ac:dyDescent="0.25">
      <c r="A28" s="9">
        <f>IF($B28&gt;Trainingsdaten!$H$3,"",MOD(ROW()-4,Trainingsdaten!$H$4)+1)</f>
        <v>3</v>
      </c>
      <c r="B28" s="11">
        <f>IF(INT((ROW()-4)/Trainingsdaten!$H$4)+1&gt;Trainingsdaten!$H$3,"",INT((ROW()-4)/Trainingsdaten!$H$4)+1)</f>
        <v>2</v>
      </c>
      <c r="C28" s="9">
        <f>IF(INT((ROW()-4)/Trainingsdaten!$H$4)+1&gt;Trainingsdaten!$H$3,"",MOD(ROW()-4,Trainingsdaten!$H$4)+1)</f>
        <v>3</v>
      </c>
      <c r="D28" s="9" t="str">
        <f>IF($B28&gt;Trainingsdaten!$H$3,"",INDEX(Trainingsdaten!B:B,$C28+1))</f>
        <v>Mango</v>
      </c>
      <c r="E28" s="7">
        <f>IF($B28&gt;Trainingsdaten!$H$3,"",INDEX(Trainingsdaten!C:C,$C28+1))</f>
        <v>12</v>
      </c>
      <c r="F28" s="7">
        <f>IF($B28&gt;Trainingsdaten!$H$3,"",INDEX(Trainingsdaten!D:D,$C28+1))</f>
        <v>9</v>
      </c>
      <c r="G28" s="7">
        <f>IF($B28&gt;Trainingsdaten!$H$3,"",INDEX(Trainingsdaten!E:E,$C28+1))</f>
        <v>1</v>
      </c>
      <c r="H28" s="11">
        <f>IF($B28&gt;Trainingsdaten!$H$3,"",Trainingsdaten!$H$2)</f>
        <v>0.1</v>
      </c>
      <c r="I28" s="7">
        <f>IF(B28&gt;Trainingsdaten!$H$3,"",I27+H28*N27*E28)</f>
        <v>2.7800000000000002</v>
      </c>
      <c r="J28" s="7">
        <f>IF(B28&gt;Trainingsdaten!$H$3,"",J27+H28*N27*F28)</f>
        <v>-1.3399999999999999</v>
      </c>
      <c r="K28" s="7">
        <f>IF(B28&gt;Trainingsdaten!$H$3,"",K27+H28*N27)</f>
        <v>0.30000000000000004</v>
      </c>
      <c r="L28" s="7">
        <f>IF(B28&gt;Trainingsdaten!$H$3,"",E28*I28+F28*J28+K28)</f>
        <v>21.6</v>
      </c>
      <c r="M28" s="7">
        <f>IF(B28&gt;Trainingsdaten!$H$3,"",IF(L28&gt;0,1,0))</f>
        <v>1</v>
      </c>
      <c r="N28" s="7">
        <f>IF(B28&gt;Trainingsdaten!$H$3,"",G28-M28)</f>
        <v>0</v>
      </c>
    </row>
    <row r="29" spans="1:14" x14ac:dyDescent="0.25">
      <c r="A29" s="9">
        <f>IF($B29&gt;Trainingsdaten!$H$3,"",MOD(ROW()-4,Trainingsdaten!$H$4)+1)</f>
        <v>4</v>
      </c>
      <c r="B29" s="11">
        <f>IF(INT((ROW()-4)/Trainingsdaten!$H$4)+1&gt;Trainingsdaten!$H$3,"",INT((ROW()-4)/Trainingsdaten!$H$4)+1)</f>
        <v>2</v>
      </c>
      <c r="C29" s="9">
        <f>IF(INT((ROW()-4)/Trainingsdaten!$H$4)+1&gt;Trainingsdaten!$H$3,"",MOD(ROW()-4,Trainingsdaten!$H$4)+1)</f>
        <v>4</v>
      </c>
      <c r="D29" s="9" t="str">
        <f>IF($B29&gt;Trainingsdaten!$H$3,"",INDEX(Trainingsdaten!B:B,$C29+1))</f>
        <v>Granatapfel</v>
      </c>
      <c r="E29" s="7">
        <f>IF($B29&gt;Trainingsdaten!$H$3,"",INDEX(Trainingsdaten!C:C,$C29+1))</f>
        <v>13.3</v>
      </c>
      <c r="F29" s="7">
        <f>IF($B29&gt;Trainingsdaten!$H$3,"",INDEX(Trainingsdaten!D:D,$C29+1))</f>
        <v>12</v>
      </c>
      <c r="G29" s="7">
        <f>IF($B29&gt;Trainingsdaten!$H$3,"",INDEX(Trainingsdaten!E:E,$C29+1))</f>
        <v>1</v>
      </c>
      <c r="H29" s="11">
        <f>IF($B29&gt;Trainingsdaten!$H$3,"",Trainingsdaten!$H$2)</f>
        <v>0.1</v>
      </c>
      <c r="I29" s="7">
        <f>IF(B29&gt;Trainingsdaten!$H$3,"",I28+H29*N28*E29)</f>
        <v>2.7800000000000002</v>
      </c>
      <c r="J29" s="7">
        <f>IF(B29&gt;Trainingsdaten!$H$3,"",J28+H29*N28*F29)</f>
        <v>-1.3399999999999999</v>
      </c>
      <c r="K29" s="7">
        <f>IF(B29&gt;Trainingsdaten!$H$3,"",K28+H29*N28)</f>
        <v>0.30000000000000004</v>
      </c>
      <c r="L29" s="7">
        <f>IF(B29&gt;Trainingsdaten!$H$3,"",E29*I29+F29*J29+K29)</f>
        <v>21.194000000000006</v>
      </c>
      <c r="M29" s="7">
        <f>IF(B29&gt;Trainingsdaten!$H$3,"",IF(L29&gt;0,1,0))</f>
        <v>1</v>
      </c>
      <c r="N29" s="7">
        <f>IF(B29&gt;Trainingsdaten!$H$3,"",G29-M29)</f>
        <v>0</v>
      </c>
    </row>
    <row r="30" spans="1:14" x14ac:dyDescent="0.25">
      <c r="A30" s="9">
        <f>IF($B30&gt;Trainingsdaten!$H$3,"",MOD(ROW()-4,Trainingsdaten!$H$4)+1)</f>
        <v>5</v>
      </c>
      <c r="B30" s="11">
        <f>IF(INT((ROW()-4)/Trainingsdaten!$H$4)+1&gt;Trainingsdaten!$H$3,"",INT((ROW()-4)/Trainingsdaten!$H$4)+1)</f>
        <v>2</v>
      </c>
      <c r="C30" s="9">
        <f>IF(INT((ROW()-4)/Trainingsdaten!$H$4)+1&gt;Trainingsdaten!$H$3,"",MOD(ROW()-4,Trainingsdaten!$H$4)+1)</f>
        <v>5</v>
      </c>
      <c r="D30" s="9" t="str">
        <f>IF($B30&gt;Trainingsdaten!$H$3,"",INDEX(Trainingsdaten!B:B,$C30+1))</f>
        <v>Kiwi</v>
      </c>
      <c r="E30" s="7">
        <f>IF($B30&gt;Trainingsdaten!$H$3,"",INDEX(Trainingsdaten!C:C,$C30+1))</f>
        <v>8.9</v>
      </c>
      <c r="F30" s="7">
        <f>IF($B30&gt;Trainingsdaten!$H$3,"",INDEX(Trainingsdaten!D:D,$C30+1))</f>
        <v>13</v>
      </c>
      <c r="G30" s="7">
        <f>IF($B30&gt;Trainingsdaten!$H$3,"",INDEX(Trainingsdaten!E:E,$C30+1))</f>
        <v>1</v>
      </c>
      <c r="H30" s="11">
        <f>IF($B30&gt;Trainingsdaten!$H$3,"",Trainingsdaten!$H$2)</f>
        <v>0.1</v>
      </c>
      <c r="I30" s="7">
        <f>IF(B30&gt;Trainingsdaten!$H$3,"",I29+H30*N29*E30)</f>
        <v>2.7800000000000002</v>
      </c>
      <c r="J30" s="7">
        <f>IF(B30&gt;Trainingsdaten!$H$3,"",J29+H30*N29*F30)</f>
        <v>-1.3399999999999999</v>
      </c>
      <c r="K30" s="7">
        <f>IF(B30&gt;Trainingsdaten!$H$3,"",K29+H30*N29)</f>
        <v>0.30000000000000004</v>
      </c>
      <c r="L30" s="7">
        <f>IF(B30&gt;Trainingsdaten!$H$3,"",E30*I30+F30*J30+K30)</f>
        <v>7.6220000000000061</v>
      </c>
      <c r="M30" s="7">
        <f>IF(B30&gt;Trainingsdaten!$H$3,"",IF(L30&gt;0,1,0))</f>
        <v>1</v>
      </c>
      <c r="N30" s="7">
        <f>IF(B30&gt;Trainingsdaten!$H$3,"",G30-M30)</f>
        <v>0</v>
      </c>
    </row>
    <row r="31" spans="1:14" x14ac:dyDescent="0.25">
      <c r="A31" s="9">
        <f>IF($B31&gt;Trainingsdaten!$H$3,"",MOD(ROW()-4,Trainingsdaten!$H$4)+1)</f>
        <v>6</v>
      </c>
      <c r="B31" s="11">
        <f>IF(INT((ROW()-4)/Trainingsdaten!$H$4)+1&gt;Trainingsdaten!$H$3,"",INT((ROW()-4)/Trainingsdaten!$H$4)+1)</f>
        <v>2</v>
      </c>
      <c r="C31" s="9">
        <f>IF(INT((ROW()-4)/Trainingsdaten!$H$4)+1&gt;Trainingsdaten!$H$3,"",MOD(ROW()-4,Trainingsdaten!$H$4)+1)</f>
        <v>6</v>
      </c>
      <c r="D31" s="9" t="str">
        <f>IF($B31&gt;Trainingsdaten!$H$3,"",INDEX(Trainingsdaten!B:B,$C31+1))</f>
        <v>Weintraube</v>
      </c>
      <c r="E31" s="7">
        <f>IF($B31&gt;Trainingsdaten!$H$3,"",INDEX(Trainingsdaten!C:C,$C31+1))</f>
        <v>14.6</v>
      </c>
      <c r="F31" s="7">
        <f>IF($B31&gt;Trainingsdaten!$H$3,"",INDEX(Trainingsdaten!D:D,$C31+1))</f>
        <v>7.6</v>
      </c>
      <c r="G31" s="7">
        <f>IF($B31&gt;Trainingsdaten!$H$3,"",INDEX(Trainingsdaten!E:E,$C31+1))</f>
        <v>1</v>
      </c>
      <c r="H31" s="11">
        <f>IF($B31&gt;Trainingsdaten!$H$3,"",Trainingsdaten!$H$2)</f>
        <v>0.1</v>
      </c>
      <c r="I31" s="7">
        <f>IF(B31&gt;Trainingsdaten!$H$3,"",I30+H31*N30*E31)</f>
        <v>2.7800000000000002</v>
      </c>
      <c r="J31" s="7">
        <f>IF(B31&gt;Trainingsdaten!$H$3,"",J30+H31*N30*F31)</f>
        <v>-1.3399999999999999</v>
      </c>
      <c r="K31" s="7">
        <f>IF(B31&gt;Trainingsdaten!$H$3,"",K30+H31*N30)</f>
        <v>0.30000000000000004</v>
      </c>
      <c r="L31" s="7">
        <f>IF(B31&gt;Trainingsdaten!$H$3,"",E31*I31+F31*J31+K31)</f>
        <v>30.704000000000004</v>
      </c>
      <c r="M31" s="7">
        <f>IF(B31&gt;Trainingsdaten!$H$3,"",IF(L31&gt;0,1,0))</f>
        <v>1</v>
      </c>
      <c r="N31" s="7">
        <f>IF(B31&gt;Trainingsdaten!$H$3,"",G31-M31)</f>
        <v>0</v>
      </c>
    </row>
    <row r="32" spans="1:14" x14ac:dyDescent="0.25">
      <c r="A32" s="9">
        <f>IF($B32&gt;Trainingsdaten!$H$3,"",MOD(ROW()-4,Trainingsdaten!$H$4)+1)</f>
        <v>7</v>
      </c>
      <c r="B32" s="11">
        <f>IF(INT((ROW()-4)/Trainingsdaten!$H$4)+1&gt;Trainingsdaten!$H$3,"",INT((ROW()-4)/Trainingsdaten!$H$4)+1)</f>
        <v>2</v>
      </c>
      <c r="C32" s="9">
        <f>IF(INT((ROW()-4)/Trainingsdaten!$H$4)+1&gt;Trainingsdaten!$H$3,"",MOD(ROW()-4,Trainingsdaten!$H$4)+1)</f>
        <v>7</v>
      </c>
      <c r="D32" s="9" t="str">
        <f>IF($B32&gt;Trainingsdaten!$H$3,"",INDEX(Trainingsdaten!B:B,$C32+1))</f>
        <v>Quitte</v>
      </c>
      <c r="E32" s="7">
        <f>IF($B32&gt;Trainingsdaten!$H$3,"",INDEX(Trainingsdaten!C:C,$C32+1))</f>
        <v>7.3</v>
      </c>
      <c r="F32" s="7">
        <f>IF($B32&gt;Trainingsdaten!$H$3,"",INDEX(Trainingsdaten!D:D,$C32+1))</f>
        <v>8.1999999999999993</v>
      </c>
      <c r="G32" s="7">
        <f>IF($B32&gt;Trainingsdaten!$H$3,"",INDEX(Trainingsdaten!E:E,$C32+1))</f>
        <v>1</v>
      </c>
      <c r="H32" s="11">
        <f>IF($B32&gt;Trainingsdaten!$H$3,"",Trainingsdaten!$H$2)</f>
        <v>0.1</v>
      </c>
      <c r="I32" s="7">
        <f>IF(B32&gt;Trainingsdaten!$H$3,"",I31+H32*N31*E32)</f>
        <v>2.7800000000000002</v>
      </c>
      <c r="J32" s="7">
        <f>IF(B32&gt;Trainingsdaten!$H$3,"",J31+H32*N31*F32)</f>
        <v>-1.3399999999999999</v>
      </c>
      <c r="K32" s="7">
        <f>IF(B32&gt;Trainingsdaten!$H$3,"",K31+H32*N31)</f>
        <v>0.30000000000000004</v>
      </c>
      <c r="L32" s="7">
        <f>IF(B32&gt;Trainingsdaten!$H$3,"",E32*I32+F32*J32+K32)</f>
        <v>9.6060000000000034</v>
      </c>
      <c r="M32" s="7">
        <f>IF(B32&gt;Trainingsdaten!$H$3,"",IF(L32&gt;0,1,0))</f>
        <v>1</v>
      </c>
      <c r="N32" s="7">
        <f>IF(B32&gt;Trainingsdaten!$H$3,"",G32-M32)</f>
        <v>0</v>
      </c>
    </row>
    <row r="33" spans="1:14" x14ac:dyDescent="0.25">
      <c r="A33" s="9">
        <f>IF($B33&gt;Trainingsdaten!$H$3,"",MOD(ROW()-4,Trainingsdaten!$H$4)+1)</f>
        <v>8</v>
      </c>
      <c r="B33" s="11">
        <f>IF(INT((ROW()-4)/Trainingsdaten!$H$4)+1&gt;Trainingsdaten!$H$3,"",INT((ROW()-4)/Trainingsdaten!$H$4)+1)</f>
        <v>2</v>
      </c>
      <c r="C33" s="9">
        <f>IF(INT((ROW()-4)/Trainingsdaten!$H$4)+1&gt;Trainingsdaten!$H$3,"",MOD(ROW()-4,Trainingsdaten!$H$4)+1)</f>
        <v>8</v>
      </c>
      <c r="D33" s="9" t="str">
        <f>IF($B33&gt;Trainingsdaten!$H$3,"",INDEX(Trainingsdaten!B:B,$C33+1))</f>
        <v>Stachelbeere</v>
      </c>
      <c r="E33" s="7">
        <f>IF($B33&gt;Trainingsdaten!$H$3,"",INDEX(Trainingsdaten!C:C,$C33+1))</f>
        <v>7.1</v>
      </c>
      <c r="F33" s="7">
        <f>IF($B33&gt;Trainingsdaten!$H$3,"",INDEX(Trainingsdaten!D:D,$C33+1))</f>
        <v>8</v>
      </c>
      <c r="G33" s="7">
        <f>IF($B33&gt;Trainingsdaten!$H$3,"",INDEX(Trainingsdaten!E:E,$C33+1))</f>
        <v>1</v>
      </c>
      <c r="H33" s="11">
        <f>IF($B33&gt;Trainingsdaten!$H$3,"",Trainingsdaten!$H$2)</f>
        <v>0.1</v>
      </c>
      <c r="I33" s="7">
        <f>IF(B33&gt;Trainingsdaten!$H$3,"",I32+H33*N32*E33)</f>
        <v>2.7800000000000002</v>
      </c>
      <c r="J33" s="7">
        <f>IF(B33&gt;Trainingsdaten!$H$3,"",J32+H33*N32*F33)</f>
        <v>-1.3399999999999999</v>
      </c>
      <c r="K33" s="7">
        <f>IF(B33&gt;Trainingsdaten!$H$3,"",K32+H33*N32)</f>
        <v>0.30000000000000004</v>
      </c>
      <c r="L33" s="7">
        <f>IF(B33&gt;Trainingsdaten!$H$3,"",E33*I33+F33*J33+K33)</f>
        <v>9.3180000000000014</v>
      </c>
      <c r="M33" s="7">
        <f>IF(B33&gt;Trainingsdaten!$H$3,"",IF(L33&gt;0,1,0))</f>
        <v>1</v>
      </c>
      <c r="N33" s="7">
        <f>IF(B33&gt;Trainingsdaten!$H$3,"",G33-M33)</f>
        <v>0</v>
      </c>
    </row>
    <row r="34" spans="1:14" x14ac:dyDescent="0.25">
      <c r="A34" s="9">
        <f>IF($B34&gt;Trainingsdaten!$H$3,"",MOD(ROW()-4,Trainingsdaten!$H$4)+1)</f>
        <v>9</v>
      </c>
      <c r="B34" s="11">
        <f>IF(INT((ROW()-4)/Trainingsdaten!$H$4)+1&gt;Trainingsdaten!$H$3,"",INT((ROW()-4)/Trainingsdaten!$H$4)+1)</f>
        <v>2</v>
      </c>
      <c r="C34" s="9">
        <f>IF(INT((ROW()-4)/Trainingsdaten!$H$4)+1&gt;Trainingsdaten!$H$3,"",MOD(ROW()-4,Trainingsdaten!$H$4)+1)</f>
        <v>9</v>
      </c>
      <c r="D34" s="9" t="str">
        <f>IF($B34&gt;Trainingsdaten!$H$3,"",INDEX(Trainingsdaten!B:B,$C34+1))</f>
        <v>Zwetschge</v>
      </c>
      <c r="E34" s="7">
        <f>IF($B34&gt;Trainingsdaten!$H$3,"",INDEX(Trainingsdaten!C:C,$C34+1))</f>
        <v>8.8000000000000007</v>
      </c>
      <c r="F34" s="7">
        <f>IF($B34&gt;Trainingsdaten!$H$3,"",INDEX(Trainingsdaten!D:D,$C34+1))</f>
        <v>8</v>
      </c>
      <c r="G34" s="7">
        <f>IF($B34&gt;Trainingsdaten!$H$3,"",INDEX(Trainingsdaten!E:E,$C34+1))</f>
        <v>1</v>
      </c>
      <c r="H34" s="11">
        <f>IF($B34&gt;Trainingsdaten!$H$3,"",Trainingsdaten!$H$2)</f>
        <v>0.1</v>
      </c>
      <c r="I34" s="7">
        <f>IF(B34&gt;Trainingsdaten!$H$3,"",I33+H34*N33*E34)</f>
        <v>2.7800000000000002</v>
      </c>
      <c r="J34" s="7">
        <f>IF(B34&gt;Trainingsdaten!$H$3,"",J33+H34*N33*F34)</f>
        <v>-1.3399999999999999</v>
      </c>
      <c r="K34" s="7">
        <f>IF(B34&gt;Trainingsdaten!$H$3,"",K33+H34*N33)</f>
        <v>0.30000000000000004</v>
      </c>
      <c r="L34" s="7">
        <f>IF(B34&gt;Trainingsdaten!$H$3,"",E34*I34+F34*J34+K34)</f>
        <v>14.044000000000008</v>
      </c>
      <c r="M34" s="7">
        <f>IF(B34&gt;Trainingsdaten!$H$3,"",IF(L34&gt;0,1,0))</f>
        <v>1</v>
      </c>
      <c r="N34" s="7">
        <f>IF(B34&gt;Trainingsdaten!$H$3,"",G34-M34)</f>
        <v>0</v>
      </c>
    </row>
    <row r="35" spans="1:14" x14ac:dyDescent="0.25">
      <c r="A35" s="9">
        <f>IF($B35&gt;Trainingsdaten!$H$3,"",MOD(ROW()-4,Trainingsdaten!$H$4)+1)</f>
        <v>10</v>
      </c>
      <c r="B35" s="11">
        <f>IF(INT((ROW()-4)/Trainingsdaten!$H$4)+1&gt;Trainingsdaten!$H$3,"",INT((ROW()-4)/Trainingsdaten!$H$4)+1)</f>
        <v>2</v>
      </c>
      <c r="C35" s="9">
        <f>IF(INT((ROW()-4)/Trainingsdaten!$H$4)+1&gt;Trainingsdaten!$H$3,"",MOD(ROW()-4,Trainingsdaten!$H$4)+1)</f>
        <v>10</v>
      </c>
      <c r="D35" s="9" t="str">
        <f>IF($B35&gt;Trainingsdaten!$H$3,"",INDEX(Trainingsdaten!B:B,$C35+1))</f>
        <v>Heidelbeere</v>
      </c>
      <c r="E35" s="7">
        <f>IF($B35&gt;Trainingsdaten!$H$3,"",INDEX(Trainingsdaten!C:C,$C35+1))</f>
        <v>10</v>
      </c>
      <c r="F35" s="7">
        <f>IF($B35&gt;Trainingsdaten!$H$3,"",INDEX(Trainingsdaten!D:D,$C35+1))</f>
        <v>5</v>
      </c>
      <c r="G35" s="7">
        <f>IF($B35&gt;Trainingsdaten!$H$3,"",INDEX(Trainingsdaten!E:E,$C35+1))</f>
        <v>1</v>
      </c>
      <c r="H35" s="11">
        <f>IF($B35&gt;Trainingsdaten!$H$3,"",Trainingsdaten!$H$2)</f>
        <v>0.1</v>
      </c>
      <c r="I35" s="7">
        <f>IF(B35&gt;Trainingsdaten!$H$3,"",I34+H35*N34*E35)</f>
        <v>2.7800000000000002</v>
      </c>
      <c r="J35" s="7">
        <f>IF(B35&gt;Trainingsdaten!$H$3,"",J34+H35*N34*F35)</f>
        <v>-1.3399999999999999</v>
      </c>
      <c r="K35" s="7">
        <f>IF(B35&gt;Trainingsdaten!$H$3,"",K34+H35*N34)</f>
        <v>0.30000000000000004</v>
      </c>
      <c r="L35" s="7">
        <f>IF(B35&gt;Trainingsdaten!$H$3,"",E35*I35+F35*J35+K35)</f>
        <v>21.400000000000006</v>
      </c>
      <c r="M35" s="7">
        <f>IF(B35&gt;Trainingsdaten!$H$3,"",IF(L35&gt;0,1,0))</f>
        <v>1</v>
      </c>
      <c r="N35" s="7">
        <f>IF(B35&gt;Trainingsdaten!$H$3,"",G35-M35)</f>
        <v>0</v>
      </c>
    </row>
    <row r="36" spans="1:14" x14ac:dyDescent="0.25">
      <c r="A36" s="9">
        <f>IF($B36&gt;Trainingsdaten!$H$3,"",MOD(ROW()-4,Trainingsdaten!$H$4)+1)</f>
        <v>11</v>
      </c>
      <c r="B36" s="11">
        <f>IF(INT((ROW()-4)/Trainingsdaten!$H$4)+1&gt;Trainingsdaten!$H$3,"",INT((ROW()-4)/Trainingsdaten!$H$4)+1)</f>
        <v>2</v>
      </c>
      <c r="C36" s="9">
        <f>IF(INT((ROW()-4)/Trainingsdaten!$H$4)+1&gt;Trainingsdaten!$H$3,"",MOD(ROW()-4,Trainingsdaten!$H$4)+1)</f>
        <v>11</v>
      </c>
      <c r="D36" s="9" t="str">
        <f>IF($B36&gt;Trainingsdaten!$H$3,"",INDEX(Trainingsdaten!B:B,$C36+1))</f>
        <v>Apfel</v>
      </c>
      <c r="E36" s="7">
        <f>IF($B36&gt;Trainingsdaten!$H$3,"",INDEX(Trainingsdaten!C:C,$C36+1))</f>
        <v>11.5</v>
      </c>
      <c r="F36" s="7">
        <f>IF($B36&gt;Trainingsdaten!$H$3,"",INDEX(Trainingsdaten!D:D,$C36+1))</f>
        <v>6.5</v>
      </c>
      <c r="G36" s="7">
        <f>IF($B36&gt;Trainingsdaten!$H$3,"",INDEX(Trainingsdaten!E:E,$C36+1))</f>
        <v>1</v>
      </c>
      <c r="H36" s="11">
        <f>IF($B36&gt;Trainingsdaten!$H$3,"",Trainingsdaten!$H$2)</f>
        <v>0.1</v>
      </c>
      <c r="I36" s="7">
        <f>IF(B36&gt;Trainingsdaten!$H$3,"",I35+H36*N35*E36)</f>
        <v>2.7800000000000002</v>
      </c>
      <c r="J36" s="7">
        <f>IF(B36&gt;Trainingsdaten!$H$3,"",J35+H36*N35*F36)</f>
        <v>-1.3399999999999999</v>
      </c>
      <c r="K36" s="7">
        <f>IF(B36&gt;Trainingsdaten!$H$3,"",K35+H36*N35)</f>
        <v>0.30000000000000004</v>
      </c>
      <c r="L36" s="7">
        <f>IF(B36&gt;Trainingsdaten!$H$3,"",E36*I36+F36*J36+K36)</f>
        <v>23.560000000000006</v>
      </c>
      <c r="M36" s="7">
        <f>IF(B36&gt;Trainingsdaten!$H$3,"",IF(L36&gt;0,1,0))</f>
        <v>1</v>
      </c>
      <c r="N36" s="7">
        <f>IF(B36&gt;Trainingsdaten!$H$3,"",G36-M36)</f>
        <v>0</v>
      </c>
    </row>
    <row r="37" spans="1:14" x14ac:dyDescent="0.25">
      <c r="A37" s="9">
        <f>IF($B37&gt;Trainingsdaten!$H$3,"",MOD(ROW()-4,Trainingsdaten!$H$4)+1)</f>
        <v>12</v>
      </c>
      <c r="B37" s="11">
        <f>IF(INT((ROW()-4)/Trainingsdaten!$H$4)+1&gt;Trainingsdaten!$H$3,"",INT((ROW()-4)/Trainingsdaten!$H$4)+1)</f>
        <v>2</v>
      </c>
      <c r="C37" s="9">
        <f>IF(INT((ROW()-4)/Trainingsdaten!$H$4)+1&gt;Trainingsdaten!$H$3,"",MOD(ROW()-4,Trainingsdaten!$H$4)+1)</f>
        <v>12</v>
      </c>
      <c r="D37" s="9" t="str">
        <f>IF($B37&gt;Trainingsdaten!$H$3,"",INDEX(Trainingsdaten!B:B,$C37+1))</f>
        <v>Mangold</v>
      </c>
      <c r="E37" s="7">
        <f>IF($B37&gt;Trainingsdaten!$H$3,"",INDEX(Trainingsdaten!C:C,$C37+1))</f>
        <v>0.5</v>
      </c>
      <c r="F37" s="7">
        <f>IF($B37&gt;Trainingsdaten!$H$3,"",INDEX(Trainingsdaten!D:D,$C37+1))</f>
        <v>81</v>
      </c>
      <c r="G37" s="7">
        <f>IF($B37&gt;Trainingsdaten!$H$3,"",INDEX(Trainingsdaten!E:E,$C37+1))</f>
        <v>0</v>
      </c>
      <c r="H37" s="11">
        <f>IF($B37&gt;Trainingsdaten!$H$3,"",Trainingsdaten!$H$2)</f>
        <v>0.1</v>
      </c>
      <c r="I37" s="7">
        <f>IF(B37&gt;Trainingsdaten!$H$3,"",I36+H37*N36*E37)</f>
        <v>2.7800000000000002</v>
      </c>
      <c r="J37" s="7">
        <f>IF(B37&gt;Trainingsdaten!$H$3,"",J36+H37*N36*F37)</f>
        <v>-1.3399999999999999</v>
      </c>
      <c r="K37" s="7">
        <f>IF(B37&gt;Trainingsdaten!$H$3,"",K36+H37*N36)</f>
        <v>0.30000000000000004</v>
      </c>
      <c r="L37" s="7">
        <f>IF(B37&gt;Trainingsdaten!$H$3,"",E37*I37+F37*J37+K37)</f>
        <v>-106.85</v>
      </c>
      <c r="M37" s="7">
        <f>IF(B37&gt;Trainingsdaten!$H$3,"",IF(L37&gt;0,1,0))</f>
        <v>0</v>
      </c>
      <c r="N37" s="7">
        <f>IF(B37&gt;Trainingsdaten!$H$3,"",G37-M37)</f>
        <v>0</v>
      </c>
    </row>
    <row r="38" spans="1:14" x14ac:dyDescent="0.25">
      <c r="A38" s="9">
        <f>IF($B38&gt;Trainingsdaten!$H$3,"",MOD(ROW()-4,Trainingsdaten!$H$4)+1)</f>
        <v>13</v>
      </c>
      <c r="B38" s="11">
        <f>IF(INT((ROW()-4)/Trainingsdaten!$H$4)+1&gt;Trainingsdaten!$H$3,"",INT((ROW()-4)/Trainingsdaten!$H$4)+1)</f>
        <v>2</v>
      </c>
      <c r="C38" s="9">
        <f>IF(INT((ROW()-4)/Trainingsdaten!$H$4)+1&gt;Trainingsdaten!$H$3,"",MOD(ROW()-4,Trainingsdaten!$H$4)+1)</f>
        <v>13</v>
      </c>
      <c r="D38" s="9" t="str">
        <f>IF($B38&gt;Trainingsdaten!$H$3,"",INDEX(Trainingsdaten!B:B,$C38+1))</f>
        <v>Schnittlauch</v>
      </c>
      <c r="E38" s="7">
        <f>IF($B38&gt;Trainingsdaten!$H$3,"",INDEX(Trainingsdaten!C:C,$C38+1))</f>
        <v>1.9</v>
      </c>
      <c r="F38" s="7">
        <f>IF($B38&gt;Trainingsdaten!$H$3,"",INDEX(Trainingsdaten!D:D,$C38+1))</f>
        <v>40</v>
      </c>
      <c r="G38" s="7">
        <f>IF($B38&gt;Trainingsdaten!$H$3,"",INDEX(Trainingsdaten!E:E,$C38+1))</f>
        <v>0</v>
      </c>
      <c r="H38" s="11">
        <f>IF($B38&gt;Trainingsdaten!$H$3,"",Trainingsdaten!$H$2)</f>
        <v>0.1</v>
      </c>
      <c r="I38" s="7">
        <f>IF(B38&gt;Trainingsdaten!$H$3,"",I37+H38*N37*E38)</f>
        <v>2.7800000000000002</v>
      </c>
      <c r="J38" s="7">
        <f>IF(B38&gt;Trainingsdaten!$H$3,"",J37+H38*N37*F38)</f>
        <v>-1.3399999999999999</v>
      </c>
      <c r="K38" s="7">
        <f>IF(B38&gt;Trainingsdaten!$H$3,"",K37+H38*N37)</f>
        <v>0.30000000000000004</v>
      </c>
      <c r="L38" s="7">
        <f>IF(B38&gt;Trainingsdaten!$H$3,"",E38*I38+F38*J38+K38)</f>
        <v>-48.018000000000001</v>
      </c>
      <c r="M38" s="7">
        <f>IF(B38&gt;Trainingsdaten!$H$3,"",IF(L38&gt;0,1,0))</f>
        <v>0</v>
      </c>
      <c r="N38" s="7">
        <f>IF(B38&gt;Trainingsdaten!$H$3,"",G38-M38)</f>
        <v>0</v>
      </c>
    </row>
    <row r="39" spans="1:14" x14ac:dyDescent="0.25">
      <c r="A39" s="9">
        <f>IF($B39&gt;Trainingsdaten!$H$3,"",MOD(ROW()-4,Trainingsdaten!$H$4)+1)</f>
        <v>14</v>
      </c>
      <c r="B39" s="11">
        <f>IF(INT((ROW()-4)/Trainingsdaten!$H$4)+1&gt;Trainingsdaten!$H$3,"",INT((ROW()-4)/Trainingsdaten!$H$4)+1)</f>
        <v>2</v>
      </c>
      <c r="C39" s="9">
        <f>IF(INT((ROW()-4)/Trainingsdaten!$H$4)+1&gt;Trainingsdaten!$H$3,"",MOD(ROW()-4,Trainingsdaten!$H$4)+1)</f>
        <v>14</v>
      </c>
      <c r="D39" s="9" t="str">
        <f>IF($B39&gt;Trainingsdaten!$H$3,"",INDEX(Trainingsdaten!B:B,$C39+1))</f>
        <v>Gartensalat</v>
      </c>
      <c r="E39" s="7">
        <f>IF($B39&gt;Trainingsdaten!$H$3,"",INDEX(Trainingsdaten!C:C,$C39+1))</f>
        <v>1.3</v>
      </c>
      <c r="F39" s="7">
        <f>IF($B39&gt;Trainingsdaten!$H$3,"",INDEX(Trainingsdaten!D:D,$C39+1))</f>
        <v>11</v>
      </c>
      <c r="G39" s="7">
        <f>IF($B39&gt;Trainingsdaten!$H$3,"",INDEX(Trainingsdaten!E:E,$C39+1))</f>
        <v>0</v>
      </c>
      <c r="H39" s="11">
        <f>IF($B39&gt;Trainingsdaten!$H$3,"",Trainingsdaten!$H$2)</f>
        <v>0.1</v>
      </c>
      <c r="I39" s="7">
        <f>IF(B39&gt;Trainingsdaten!$H$3,"",I38+H39*N38*E39)</f>
        <v>2.7800000000000002</v>
      </c>
      <c r="J39" s="7">
        <f>IF(B39&gt;Trainingsdaten!$H$3,"",J38+H39*N38*F39)</f>
        <v>-1.3399999999999999</v>
      </c>
      <c r="K39" s="7">
        <f>IF(B39&gt;Trainingsdaten!$H$3,"",K38+H39*N38)</f>
        <v>0.30000000000000004</v>
      </c>
      <c r="L39" s="7">
        <f>IF(B39&gt;Trainingsdaten!$H$3,"",E39*I39+F39*J39+K39)</f>
        <v>-10.825999999999997</v>
      </c>
      <c r="M39" s="7">
        <f>IF(B39&gt;Trainingsdaten!$H$3,"",IF(L39&gt;0,1,0))</f>
        <v>0</v>
      </c>
      <c r="N39" s="7">
        <f>IF(B39&gt;Trainingsdaten!$H$3,"",G39-M39)</f>
        <v>0</v>
      </c>
    </row>
    <row r="40" spans="1:14" x14ac:dyDescent="0.25">
      <c r="A40" s="9">
        <f>IF($B40&gt;Trainingsdaten!$H$3,"",MOD(ROW()-4,Trainingsdaten!$H$4)+1)</f>
        <v>15</v>
      </c>
      <c r="B40" s="11">
        <f>IF(INT((ROW()-4)/Trainingsdaten!$H$4)+1&gt;Trainingsdaten!$H$3,"",INT((ROW()-4)/Trainingsdaten!$H$4)+1)</f>
        <v>2</v>
      </c>
      <c r="C40" s="9">
        <f>IF(INT((ROW()-4)/Trainingsdaten!$H$4)+1&gt;Trainingsdaten!$H$3,"",MOD(ROW()-4,Trainingsdaten!$H$4)+1)</f>
        <v>15</v>
      </c>
      <c r="D40" s="9" t="str">
        <f>IF($B40&gt;Trainingsdaten!$H$3,"",INDEX(Trainingsdaten!B:B,$C40+1))</f>
        <v>Lauch</v>
      </c>
      <c r="E40" s="7">
        <f>IF($B40&gt;Trainingsdaten!$H$3,"",INDEX(Trainingsdaten!C:C,$C40+1))</f>
        <v>3.5</v>
      </c>
      <c r="F40" s="7">
        <f>IF($B40&gt;Trainingsdaten!$H$3,"",INDEX(Trainingsdaten!D:D,$C40+1))</f>
        <v>8.8000000000000007</v>
      </c>
      <c r="G40" s="7">
        <f>IF($B40&gt;Trainingsdaten!$H$3,"",INDEX(Trainingsdaten!E:E,$C40+1))</f>
        <v>0</v>
      </c>
      <c r="H40" s="11">
        <f>IF($B40&gt;Trainingsdaten!$H$3,"",Trainingsdaten!$H$2)</f>
        <v>0.1</v>
      </c>
      <c r="I40" s="7">
        <f>IF(B40&gt;Trainingsdaten!$H$3,"",I39+H40*N39*E40)</f>
        <v>2.7800000000000002</v>
      </c>
      <c r="J40" s="7">
        <f>IF(B40&gt;Trainingsdaten!$H$3,"",J39+H40*N39*F40)</f>
        <v>-1.3399999999999999</v>
      </c>
      <c r="K40" s="7">
        <f>IF(B40&gt;Trainingsdaten!$H$3,"",K39+H40*N39)</f>
        <v>0.30000000000000004</v>
      </c>
      <c r="L40" s="7">
        <f>IF(B40&gt;Trainingsdaten!$H$3,"",E40*I40+F40*J40+K40)</f>
        <v>-1.7619999999999993</v>
      </c>
      <c r="M40" s="7">
        <f>IF(B40&gt;Trainingsdaten!$H$3,"",IF(L40&gt;0,1,0))</f>
        <v>0</v>
      </c>
      <c r="N40" s="7">
        <f>IF(B40&gt;Trainingsdaten!$H$3,"",G40-M40)</f>
        <v>0</v>
      </c>
    </row>
    <row r="41" spans="1:14" x14ac:dyDescent="0.25">
      <c r="A41" s="9">
        <f>IF($B41&gt;Trainingsdaten!$H$3,"",MOD(ROW()-4,Trainingsdaten!$H$4)+1)</f>
        <v>16</v>
      </c>
      <c r="B41" s="11">
        <f>IF(INT((ROW()-4)/Trainingsdaten!$H$4)+1&gt;Trainingsdaten!$H$3,"",INT((ROW()-4)/Trainingsdaten!$H$4)+1)</f>
        <v>2</v>
      </c>
      <c r="C41" s="9">
        <f>IF(INT((ROW()-4)/Trainingsdaten!$H$4)+1&gt;Trainingsdaten!$H$3,"",MOD(ROW()-4,Trainingsdaten!$H$4)+1)</f>
        <v>16</v>
      </c>
      <c r="D41" s="9" t="str">
        <f>IF($B41&gt;Trainingsdaten!$H$3,"",INDEX(Trainingsdaten!B:B,$C41+1))</f>
        <v>Rote Peperoni</v>
      </c>
      <c r="E41" s="7">
        <f>IF($B41&gt;Trainingsdaten!$H$3,"",INDEX(Trainingsdaten!C:C,$C41+1))</f>
        <v>5.0999999999999996</v>
      </c>
      <c r="F41" s="7">
        <f>IF($B41&gt;Trainingsdaten!$H$3,"",INDEX(Trainingsdaten!D:D,$C41+1))</f>
        <v>12</v>
      </c>
      <c r="G41" s="7">
        <f>IF($B41&gt;Trainingsdaten!$H$3,"",INDEX(Trainingsdaten!E:E,$C41+1))</f>
        <v>0</v>
      </c>
      <c r="H41" s="11">
        <f>IF($B41&gt;Trainingsdaten!$H$3,"",Trainingsdaten!$H$2)</f>
        <v>0.1</v>
      </c>
      <c r="I41" s="7">
        <f>IF(B41&gt;Trainingsdaten!$H$3,"",I40+H41*N40*E41)</f>
        <v>2.7800000000000002</v>
      </c>
      <c r="J41" s="7">
        <f>IF(B41&gt;Trainingsdaten!$H$3,"",J40+H41*N40*F41)</f>
        <v>-1.3399999999999999</v>
      </c>
      <c r="K41" s="7">
        <f>IF(B41&gt;Trainingsdaten!$H$3,"",K40+H41*N40)</f>
        <v>0.30000000000000004</v>
      </c>
      <c r="L41" s="7">
        <f>IF(B41&gt;Trainingsdaten!$H$3,"",E41*I41+F41*J41+K41)</f>
        <v>-1.6019999999999974</v>
      </c>
      <c r="M41" s="7">
        <f>IF(B41&gt;Trainingsdaten!$H$3,"",IF(L41&gt;0,1,0))</f>
        <v>0</v>
      </c>
      <c r="N41" s="7">
        <f>IF(B41&gt;Trainingsdaten!$H$3,"",G41-M41)</f>
        <v>0</v>
      </c>
    </row>
    <row r="42" spans="1:14" x14ac:dyDescent="0.25">
      <c r="A42" s="9">
        <f>IF($B42&gt;Trainingsdaten!$H$3,"",MOD(ROW()-4,Trainingsdaten!$H$4)+1)</f>
        <v>17</v>
      </c>
      <c r="B42" s="11">
        <f>IF(INT((ROW()-4)/Trainingsdaten!$H$4)+1&gt;Trainingsdaten!$H$3,"",INT((ROW()-4)/Trainingsdaten!$H$4)+1)</f>
        <v>2</v>
      </c>
      <c r="C42" s="9">
        <f>IF(INT((ROW()-4)/Trainingsdaten!$H$4)+1&gt;Trainingsdaten!$H$3,"",MOD(ROW()-4,Trainingsdaten!$H$4)+1)</f>
        <v>17</v>
      </c>
      <c r="D42" s="9" t="str">
        <f>IF($B42&gt;Trainingsdaten!$H$3,"",INDEX(Trainingsdaten!B:B,$C42+1))</f>
        <v>Grünkohl</v>
      </c>
      <c r="E42" s="7">
        <f>IF($B42&gt;Trainingsdaten!$H$3,"",INDEX(Trainingsdaten!C:C,$C42+1))</f>
        <v>2.5</v>
      </c>
      <c r="F42" s="7">
        <f>IF($B42&gt;Trainingsdaten!$H$3,"",INDEX(Trainingsdaten!D:D,$C42+1))</f>
        <v>38</v>
      </c>
      <c r="G42" s="7">
        <f>IF($B42&gt;Trainingsdaten!$H$3,"",INDEX(Trainingsdaten!E:E,$C42+1))</f>
        <v>0</v>
      </c>
      <c r="H42" s="11">
        <f>IF($B42&gt;Trainingsdaten!$H$3,"",Trainingsdaten!$H$2)</f>
        <v>0.1</v>
      </c>
      <c r="I42" s="7">
        <f>IF(B42&gt;Trainingsdaten!$H$3,"",I41+H42*N41*E42)</f>
        <v>2.7800000000000002</v>
      </c>
      <c r="J42" s="7">
        <f>IF(B42&gt;Trainingsdaten!$H$3,"",J41+H42*N41*F42)</f>
        <v>-1.3399999999999999</v>
      </c>
      <c r="K42" s="7">
        <f>IF(B42&gt;Trainingsdaten!$H$3,"",K41+H42*N41)</f>
        <v>0.30000000000000004</v>
      </c>
      <c r="L42" s="7">
        <f>IF(B42&gt;Trainingsdaten!$H$3,"",E42*I42+F42*J42+K42)</f>
        <v>-43.669999999999995</v>
      </c>
      <c r="M42" s="7">
        <f>IF(B42&gt;Trainingsdaten!$H$3,"",IF(L42&gt;0,1,0))</f>
        <v>0</v>
      </c>
      <c r="N42" s="7">
        <f>IF(B42&gt;Trainingsdaten!$H$3,"",G42-M42)</f>
        <v>0</v>
      </c>
    </row>
    <row r="43" spans="1:14" x14ac:dyDescent="0.25">
      <c r="A43" s="9">
        <f>IF($B43&gt;Trainingsdaten!$H$3,"",MOD(ROW()-4,Trainingsdaten!$H$4)+1)</f>
        <v>18</v>
      </c>
      <c r="B43" s="11">
        <f>IF(INT((ROW()-4)/Trainingsdaten!$H$4)+1&gt;Trainingsdaten!$H$3,"",INT((ROW()-4)/Trainingsdaten!$H$4)+1)</f>
        <v>2</v>
      </c>
      <c r="C43" s="9">
        <f>IF(INT((ROW()-4)/Trainingsdaten!$H$4)+1&gt;Trainingsdaten!$H$3,"",MOD(ROW()-4,Trainingsdaten!$H$4)+1)</f>
        <v>18</v>
      </c>
      <c r="D43" s="9" t="str">
        <f>IF($B43&gt;Trainingsdaten!$H$3,"",INDEX(Trainingsdaten!B:B,$C43+1))</f>
        <v>Schwarzwurzel</v>
      </c>
      <c r="E43" s="7">
        <f>IF($B43&gt;Trainingsdaten!$H$3,"",INDEX(Trainingsdaten!C:C,$C43+1))</f>
        <v>2</v>
      </c>
      <c r="F43" s="7">
        <f>IF($B43&gt;Trainingsdaten!$H$3,"",INDEX(Trainingsdaten!D:D,$C43+1))</f>
        <v>24</v>
      </c>
      <c r="G43" s="7">
        <f>IF($B43&gt;Trainingsdaten!$H$3,"",INDEX(Trainingsdaten!E:E,$C43+1))</f>
        <v>0</v>
      </c>
      <c r="H43" s="11">
        <f>IF($B43&gt;Trainingsdaten!$H$3,"",Trainingsdaten!$H$2)</f>
        <v>0.1</v>
      </c>
      <c r="I43" s="7">
        <f>IF(B43&gt;Trainingsdaten!$H$3,"",I42+H43*N42*E43)</f>
        <v>2.7800000000000002</v>
      </c>
      <c r="J43" s="7">
        <f>IF(B43&gt;Trainingsdaten!$H$3,"",J42+H43*N42*F43)</f>
        <v>-1.3399999999999999</v>
      </c>
      <c r="K43" s="7">
        <f>IF(B43&gt;Trainingsdaten!$H$3,"",K42+H43*N42)</f>
        <v>0.30000000000000004</v>
      </c>
      <c r="L43" s="7">
        <f>IF(B43&gt;Trainingsdaten!$H$3,"",E43*I43+F43*J43+K43)</f>
        <v>-26.299999999999994</v>
      </c>
      <c r="M43" s="7">
        <f>IF(B43&gt;Trainingsdaten!$H$3,"",IF(L43&gt;0,1,0))</f>
        <v>0</v>
      </c>
      <c r="N43" s="7">
        <f>IF(B43&gt;Trainingsdaten!$H$3,"",G43-M43)</f>
        <v>0</v>
      </c>
    </row>
    <row r="44" spans="1:14" x14ac:dyDescent="0.25">
      <c r="A44" s="9">
        <f>IF($B44&gt;Trainingsdaten!$H$3,"",MOD(ROW()-4,Trainingsdaten!$H$4)+1)</f>
        <v>19</v>
      </c>
      <c r="B44" s="11">
        <f>IF(INT((ROW()-4)/Trainingsdaten!$H$4)+1&gt;Trainingsdaten!$H$3,"",INT((ROW()-4)/Trainingsdaten!$H$4)+1)</f>
        <v>2</v>
      </c>
      <c r="C44" s="9">
        <f>IF(INT((ROW()-4)/Trainingsdaten!$H$4)+1&gt;Trainingsdaten!$H$3,"",MOD(ROW()-4,Trainingsdaten!$H$4)+1)</f>
        <v>19</v>
      </c>
      <c r="D44" s="9" t="str">
        <f>IF($B44&gt;Trainingsdaten!$H$3,"",INDEX(Trainingsdaten!B:B,$C44+1))</f>
        <v>Erbsen</v>
      </c>
      <c r="E44" s="7">
        <f>IF($B44&gt;Trainingsdaten!$H$3,"",INDEX(Trainingsdaten!C:C,$C44+1))</f>
        <v>5.5</v>
      </c>
      <c r="F44" s="7">
        <f>IF($B44&gt;Trainingsdaten!$H$3,"",INDEX(Trainingsdaten!D:D,$C44+1))</f>
        <v>34</v>
      </c>
      <c r="G44" s="7">
        <f>IF($B44&gt;Trainingsdaten!$H$3,"",INDEX(Trainingsdaten!E:E,$C44+1))</f>
        <v>0</v>
      </c>
      <c r="H44" s="11">
        <f>IF($B44&gt;Trainingsdaten!$H$3,"",Trainingsdaten!$H$2)</f>
        <v>0.1</v>
      </c>
      <c r="I44" s="7">
        <f>IF(B44&gt;Trainingsdaten!$H$3,"",I43+H44*N43*E44)</f>
        <v>2.7800000000000002</v>
      </c>
      <c r="J44" s="7">
        <f>IF(B44&gt;Trainingsdaten!$H$3,"",J43+H44*N43*F44)</f>
        <v>-1.3399999999999999</v>
      </c>
      <c r="K44" s="7">
        <f>IF(B44&gt;Trainingsdaten!$H$3,"",K43+H44*N43)</f>
        <v>0.30000000000000004</v>
      </c>
      <c r="L44" s="7">
        <f>IF(B44&gt;Trainingsdaten!$H$3,"",E44*I44+F44*J44+K44)</f>
        <v>-29.969999999999995</v>
      </c>
      <c r="M44" s="7">
        <f>IF(B44&gt;Trainingsdaten!$H$3,"",IF(L44&gt;0,1,0))</f>
        <v>0</v>
      </c>
      <c r="N44" s="7">
        <f>IF(B44&gt;Trainingsdaten!$H$3,"",G44-M44)</f>
        <v>0</v>
      </c>
    </row>
    <row r="45" spans="1:14" x14ac:dyDescent="0.25">
      <c r="A45" s="9">
        <f>IF($B45&gt;Trainingsdaten!$H$3,"",MOD(ROW()-4,Trainingsdaten!$H$4)+1)</f>
        <v>20</v>
      </c>
      <c r="B45" s="11">
        <f>IF(INT((ROW()-4)/Trainingsdaten!$H$4)+1&gt;Trainingsdaten!$H$3,"",INT((ROW()-4)/Trainingsdaten!$H$4)+1)</f>
        <v>2</v>
      </c>
      <c r="C45" s="9">
        <f>IF(INT((ROW()-4)/Trainingsdaten!$H$4)+1&gt;Trainingsdaten!$H$3,"",MOD(ROW()-4,Trainingsdaten!$H$4)+1)</f>
        <v>20</v>
      </c>
      <c r="D45" s="9" t="str">
        <f>IF($B45&gt;Trainingsdaten!$H$3,"",INDEX(Trainingsdaten!B:B,$C45+1))</f>
        <v>Zucchini</v>
      </c>
      <c r="E45" s="7">
        <f>IF($B45&gt;Trainingsdaten!$H$3,"",INDEX(Trainingsdaten!C:C,$C45+1))</f>
        <v>1.9</v>
      </c>
      <c r="F45" s="7">
        <f>IF($B45&gt;Trainingsdaten!$H$3,"",INDEX(Trainingsdaten!D:D,$C45+1))</f>
        <v>23</v>
      </c>
      <c r="G45" s="7">
        <f>IF($B45&gt;Trainingsdaten!$H$3,"",INDEX(Trainingsdaten!E:E,$C45+1))</f>
        <v>0</v>
      </c>
      <c r="H45" s="11">
        <f>IF($B45&gt;Trainingsdaten!$H$3,"",Trainingsdaten!$H$2)</f>
        <v>0.1</v>
      </c>
      <c r="I45" s="7">
        <f>IF(B45&gt;Trainingsdaten!$H$3,"",I44+H45*N44*E45)</f>
        <v>2.7800000000000002</v>
      </c>
      <c r="J45" s="7">
        <f>IF(B45&gt;Trainingsdaten!$H$3,"",J44+H45*N44*F45)</f>
        <v>-1.3399999999999999</v>
      </c>
      <c r="K45" s="7">
        <f>IF(B45&gt;Trainingsdaten!$H$3,"",K44+H45*N44)</f>
        <v>0.30000000000000004</v>
      </c>
      <c r="L45" s="7">
        <f>IF(B45&gt;Trainingsdaten!$H$3,"",E45*I45+F45*J45+K45)</f>
        <v>-25.237999999999996</v>
      </c>
      <c r="M45" s="7">
        <f>IF(B45&gt;Trainingsdaten!$H$3,"",IF(L45&gt;0,1,0))</f>
        <v>0</v>
      </c>
      <c r="N45" s="7">
        <f>IF(B45&gt;Trainingsdaten!$H$3,"",G45-M45)</f>
        <v>0</v>
      </c>
    </row>
    <row r="46" spans="1:14" x14ac:dyDescent="0.25">
      <c r="A46" s="9">
        <f>IF($B46&gt;Trainingsdaten!$H$3,"",MOD(ROW()-4,Trainingsdaten!$H$4)+1)</f>
        <v>21</v>
      </c>
      <c r="B46" s="11">
        <f>IF(INT((ROW()-4)/Trainingsdaten!$H$4)+1&gt;Trainingsdaten!$H$3,"",INT((ROW()-4)/Trainingsdaten!$H$4)+1)</f>
        <v>2</v>
      </c>
      <c r="C46" s="9">
        <f>IF(INT((ROW()-4)/Trainingsdaten!$H$4)+1&gt;Trainingsdaten!$H$3,"",MOD(ROW()-4,Trainingsdaten!$H$4)+1)</f>
        <v>21</v>
      </c>
      <c r="D46" s="9" t="str">
        <f>IF($B46&gt;Trainingsdaten!$H$3,"",INDEX(Trainingsdaten!B:B,$C46+1))</f>
        <v>Aubergine</v>
      </c>
      <c r="E46" s="7">
        <f>IF($B46&gt;Trainingsdaten!$H$3,"",INDEX(Trainingsdaten!C:C,$C46+1))</f>
        <v>2.4</v>
      </c>
      <c r="F46" s="7">
        <f>IF($B46&gt;Trainingsdaten!$H$3,"",INDEX(Trainingsdaten!D:D,$C46+1))</f>
        <v>14</v>
      </c>
      <c r="G46" s="7">
        <f>IF($B46&gt;Trainingsdaten!$H$3,"",INDEX(Trainingsdaten!E:E,$C46+1))</f>
        <v>0</v>
      </c>
      <c r="H46" s="11">
        <f>IF($B46&gt;Trainingsdaten!$H$3,"",Trainingsdaten!$H$2)</f>
        <v>0.1</v>
      </c>
      <c r="I46" s="7">
        <f>IF(B46&gt;Trainingsdaten!$H$3,"",I45+H46*N45*E46)</f>
        <v>2.7800000000000002</v>
      </c>
      <c r="J46" s="7">
        <f>IF(B46&gt;Trainingsdaten!$H$3,"",J45+H46*N45*F46)</f>
        <v>-1.3399999999999999</v>
      </c>
      <c r="K46" s="7">
        <f>IF(B46&gt;Trainingsdaten!$H$3,"",K45+H46*N45)</f>
        <v>0.30000000000000004</v>
      </c>
      <c r="L46" s="7">
        <f>IF(B46&gt;Trainingsdaten!$H$3,"",E46*I46+F46*J46+K46)</f>
        <v>-11.787999999999997</v>
      </c>
      <c r="M46" s="7">
        <f>IF(B46&gt;Trainingsdaten!$H$3,"",IF(L46&gt;0,1,0))</f>
        <v>0</v>
      </c>
      <c r="N46" s="7">
        <f>IF(B46&gt;Trainingsdaten!$H$3,"",G46-M46)</f>
        <v>0</v>
      </c>
    </row>
    <row r="47" spans="1:14" x14ac:dyDescent="0.25">
      <c r="A47" s="9">
        <f>IF($B47&gt;Trainingsdaten!$H$3,"",MOD(ROW()-4,Trainingsdaten!$H$4)+1)</f>
        <v>22</v>
      </c>
      <c r="B47" s="11">
        <f>IF(INT((ROW()-4)/Trainingsdaten!$H$4)+1&gt;Trainingsdaten!$H$3,"",INT((ROW()-4)/Trainingsdaten!$H$4)+1)</f>
        <v>2</v>
      </c>
      <c r="C47" s="9">
        <f>IF(INT((ROW()-4)/Trainingsdaten!$H$4)+1&gt;Trainingsdaten!$H$3,"",MOD(ROW()-4,Trainingsdaten!$H$4)+1)</f>
        <v>22</v>
      </c>
      <c r="D47" s="9" t="str">
        <f>IF($B47&gt;Trainingsdaten!$H$3,"",INDEX(Trainingsdaten!B:B,$C47+1))</f>
        <v>Fenchel</v>
      </c>
      <c r="E47" s="7">
        <f>IF($B47&gt;Trainingsdaten!$H$3,"",INDEX(Trainingsdaten!C:C,$C47+1))</f>
        <v>0.1</v>
      </c>
      <c r="F47" s="7">
        <f>IF($B47&gt;Trainingsdaten!$H$3,"",INDEX(Trainingsdaten!D:D,$C47+1))</f>
        <v>12</v>
      </c>
      <c r="G47" s="7">
        <f>IF($B47&gt;Trainingsdaten!$H$3,"",INDEX(Trainingsdaten!E:E,$C47+1))</f>
        <v>0</v>
      </c>
      <c r="H47" s="11">
        <f>IF($B47&gt;Trainingsdaten!$H$3,"",Trainingsdaten!$H$2)</f>
        <v>0.1</v>
      </c>
      <c r="I47" s="7">
        <f>IF(B47&gt;Trainingsdaten!$H$3,"",I46+H47*N46*E47)</f>
        <v>2.7800000000000002</v>
      </c>
      <c r="J47" s="7">
        <f>IF(B47&gt;Trainingsdaten!$H$3,"",J46+H47*N46*F47)</f>
        <v>-1.3399999999999999</v>
      </c>
      <c r="K47" s="7">
        <f>IF(B47&gt;Trainingsdaten!$H$3,"",K46+H47*N46)</f>
        <v>0.30000000000000004</v>
      </c>
      <c r="L47" s="7">
        <f>IF(B47&gt;Trainingsdaten!$H$3,"",E47*I47+F47*J47+K47)</f>
        <v>-15.501999999999997</v>
      </c>
      <c r="M47" s="7">
        <f>IF(B47&gt;Trainingsdaten!$H$3,"",IF(L47&gt;0,1,0))</f>
        <v>0</v>
      </c>
      <c r="N47" s="7">
        <f>IF(B47&gt;Trainingsdaten!$H$3,"",G47-M47)</f>
        <v>0</v>
      </c>
    </row>
    <row r="48" spans="1:14" x14ac:dyDescent="0.25">
      <c r="A48" s="9" t="str">
        <f>IF($B48&gt;Trainingsdaten!$H$3,"",MOD(ROW()-4,Trainingsdaten!$H$4)+1)</f>
        <v/>
      </c>
      <c r="B48" s="11" t="str">
        <f>IF(INT((ROW()-4)/Trainingsdaten!$H$4)+1&gt;Trainingsdaten!$H$3,"",INT((ROW()-4)/Trainingsdaten!$H$4)+1)</f>
        <v/>
      </c>
      <c r="C48" s="9" t="str">
        <f>IF(INT((ROW()-4)/Trainingsdaten!$H$4)+1&gt;Trainingsdaten!$H$3,"",MOD(ROW()-4,Trainingsdaten!$H$4)+1)</f>
        <v/>
      </c>
      <c r="D48" s="9" t="str">
        <f>IF($B48&gt;Trainingsdaten!$H$3,"",INDEX(Trainingsdaten!B:B,$C48+1))</f>
        <v/>
      </c>
      <c r="E48" s="7" t="str">
        <f>IF($B48&gt;Trainingsdaten!$H$3,"",INDEX(Trainingsdaten!C:C,$C48+1))</f>
        <v/>
      </c>
      <c r="F48" s="7" t="str">
        <f>IF($B48&gt;Trainingsdaten!$H$3,"",INDEX(Trainingsdaten!D:D,$C48+1))</f>
        <v/>
      </c>
      <c r="G48" s="7" t="str">
        <f>IF($B48&gt;Trainingsdaten!$H$3,"",INDEX(Trainingsdaten!E:E,$C48+1))</f>
        <v/>
      </c>
      <c r="H48" s="11" t="str">
        <f>IF($B48&gt;Trainingsdaten!$H$3,"",Trainingsdaten!$H$2)</f>
        <v/>
      </c>
      <c r="I48" s="7" t="str">
        <f>IF(B48&gt;Trainingsdaten!$H$3,"",I47+H48*N47*E48)</f>
        <v/>
      </c>
      <c r="J48" s="7" t="str">
        <f>IF(B48&gt;Trainingsdaten!$H$3,"",J47+H48*N47*F48)</f>
        <v/>
      </c>
      <c r="K48" s="7" t="str">
        <f>IF(B48&gt;Trainingsdaten!$H$3,"",K47+H48*N47)</f>
        <v/>
      </c>
      <c r="L48" s="7" t="str">
        <f>IF(B48&gt;Trainingsdaten!$H$3,"",E48*I48+F48*J48+K48)</f>
        <v/>
      </c>
      <c r="M48" s="7" t="str">
        <f>IF(B48&gt;Trainingsdaten!$H$3,"",IF(L48&gt;0,1,0))</f>
        <v/>
      </c>
      <c r="N48" s="7" t="str">
        <f>IF(B48&gt;Trainingsdaten!$H$3,"",G48-M48)</f>
        <v/>
      </c>
    </row>
    <row r="49" spans="1:14" x14ac:dyDescent="0.25">
      <c r="A49" s="9" t="str">
        <f>IF($B49&gt;Trainingsdaten!$H$3,"",MOD(ROW()-4,Trainingsdaten!$H$4)+1)</f>
        <v/>
      </c>
      <c r="B49" s="11" t="str">
        <f>IF(INT((ROW()-4)/Trainingsdaten!$H$4)+1&gt;Trainingsdaten!$H$3,"",INT((ROW()-4)/Trainingsdaten!$H$4)+1)</f>
        <v/>
      </c>
      <c r="C49" s="9" t="str">
        <f>IF(INT((ROW()-4)/Trainingsdaten!$H$4)+1&gt;Trainingsdaten!$H$3,"",MOD(ROW()-4,Trainingsdaten!$H$4)+1)</f>
        <v/>
      </c>
      <c r="D49" s="9" t="str">
        <f>IF($B49&gt;Trainingsdaten!$H$3,"",INDEX(Trainingsdaten!B:B,$C49+1))</f>
        <v/>
      </c>
      <c r="E49" s="7" t="str">
        <f>IF($B49&gt;Trainingsdaten!$H$3,"",INDEX(Trainingsdaten!C:C,$C49+1))</f>
        <v/>
      </c>
      <c r="F49" s="7" t="str">
        <f>IF($B49&gt;Trainingsdaten!$H$3,"",INDEX(Trainingsdaten!D:D,$C49+1))</f>
        <v/>
      </c>
      <c r="G49" s="7" t="str">
        <f>IF($B49&gt;Trainingsdaten!$H$3,"",INDEX(Trainingsdaten!E:E,$C49+1))</f>
        <v/>
      </c>
      <c r="H49" s="11" t="str">
        <f>IF($B49&gt;Trainingsdaten!$H$3,"",Trainingsdaten!$H$2)</f>
        <v/>
      </c>
      <c r="I49" s="7" t="str">
        <f>IF(B49&gt;Trainingsdaten!$H$3,"",I48+H49*N48*E49)</f>
        <v/>
      </c>
      <c r="J49" s="7" t="str">
        <f>IF(B49&gt;Trainingsdaten!$H$3,"",J48+H49*N48*F49)</f>
        <v/>
      </c>
      <c r="K49" s="7" t="str">
        <f>IF(B49&gt;Trainingsdaten!$H$3,"",K48+H49*N48)</f>
        <v/>
      </c>
      <c r="L49" s="7" t="str">
        <f>IF(B49&gt;Trainingsdaten!$H$3,"",E49*I49+F49*J49+K49)</f>
        <v/>
      </c>
      <c r="M49" s="7" t="str">
        <f>IF(B49&gt;Trainingsdaten!$H$3,"",IF(L49&gt;0,1,0))</f>
        <v/>
      </c>
      <c r="N49" s="7" t="str">
        <f>IF(B49&gt;Trainingsdaten!$H$3,"",G49-M49)</f>
        <v/>
      </c>
    </row>
    <row r="50" spans="1:14" x14ac:dyDescent="0.25">
      <c r="A50" s="9" t="str">
        <f>IF($B50&gt;Trainingsdaten!$H$3,"",MOD(ROW()-4,Trainingsdaten!$H$4)+1)</f>
        <v/>
      </c>
      <c r="B50" s="11" t="str">
        <f>IF(INT((ROW()-4)/Trainingsdaten!$H$4)+1&gt;Trainingsdaten!$H$3,"",INT((ROW()-4)/Trainingsdaten!$H$4)+1)</f>
        <v/>
      </c>
      <c r="C50" s="9" t="str">
        <f>IF(INT((ROW()-4)/Trainingsdaten!$H$4)+1&gt;Trainingsdaten!$H$3,"",MOD(ROW()-4,Trainingsdaten!$H$4)+1)</f>
        <v/>
      </c>
      <c r="D50" s="9" t="str">
        <f>IF($B50&gt;Trainingsdaten!$H$3,"",INDEX(Trainingsdaten!B:B,$C50+1))</f>
        <v/>
      </c>
      <c r="E50" s="7" t="str">
        <f>IF($B50&gt;Trainingsdaten!$H$3,"",INDEX(Trainingsdaten!C:C,$C50+1))</f>
        <v/>
      </c>
      <c r="F50" s="7" t="str">
        <f>IF($B50&gt;Trainingsdaten!$H$3,"",INDEX(Trainingsdaten!D:D,$C50+1))</f>
        <v/>
      </c>
      <c r="G50" s="7" t="str">
        <f>IF($B50&gt;Trainingsdaten!$H$3,"",INDEX(Trainingsdaten!E:E,$C50+1))</f>
        <v/>
      </c>
      <c r="H50" s="11" t="str">
        <f>IF($B50&gt;Trainingsdaten!$H$3,"",Trainingsdaten!$H$2)</f>
        <v/>
      </c>
      <c r="I50" s="7" t="str">
        <f>IF(B50&gt;Trainingsdaten!$H$3,"",I49+H50*N49*E50)</f>
        <v/>
      </c>
      <c r="J50" s="7" t="str">
        <f>IF(B50&gt;Trainingsdaten!$H$3,"",J49+H50*N49*F50)</f>
        <v/>
      </c>
      <c r="K50" s="7" t="str">
        <f>IF(B50&gt;Trainingsdaten!$H$3,"",K49+H50*N49)</f>
        <v/>
      </c>
      <c r="L50" s="7" t="str">
        <f>IF(B50&gt;Trainingsdaten!$H$3,"",E50*I50+F50*J50+K50)</f>
        <v/>
      </c>
      <c r="M50" s="7" t="str">
        <f>IF(B50&gt;Trainingsdaten!$H$3,"",IF(L50&gt;0,1,0))</f>
        <v/>
      </c>
      <c r="N50" s="7" t="str">
        <f>IF(B50&gt;Trainingsdaten!$H$3,"",G50-M50)</f>
        <v/>
      </c>
    </row>
    <row r="51" spans="1:14" x14ac:dyDescent="0.25">
      <c r="A51" s="9" t="str">
        <f>IF($B51&gt;Trainingsdaten!$H$3,"",MOD(ROW()-4,Trainingsdaten!$H$4)+1)</f>
        <v/>
      </c>
      <c r="B51" s="11" t="str">
        <f>IF(INT((ROW()-4)/Trainingsdaten!$H$4)+1&gt;Trainingsdaten!$H$3,"",INT((ROW()-4)/Trainingsdaten!$H$4)+1)</f>
        <v/>
      </c>
      <c r="C51" s="9" t="str">
        <f>IF(INT((ROW()-4)/Trainingsdaten!$H$4)+1&gt;Trainingsdaten!$H$3,"",MOD(ROW()-4,Trainingsdaten!$H$4)+1)</f>
        <v/>
      </c>
      <c r="D51" s="9" t="str">
        <f>IF($B51&gt;Trainingsdaten!$H$3,"",INDEX(Trainingsdaten!B:B,$C51+1))</f>
        <v/>
      </c>
      <c r="E51" s="7" t="str">
        <f>IF($B51&gt;Trainingsdaten!$H$3,"",INDEX(Trainingsdaten!C:C,$C51+1))</f>
        <v/>
      </c>
      <c r="F51" s="7" t="str">
        <f>IF($B51&gt;Trainingsdaten!$H$3,"",INDEX(Trainingsdaten!D:D,$C51+1))</f>
        <v/>
      </c>
      <c r="G51" s="7" t="str">
        <f>IF($B51&gt;Trainingsdaten!$H$3,"",INDEX(Trainingsdaten!E:E,$C51+1))</f>
        <v/>
      </c>
      <c r="H51" s="11" t="str">
        <f>IF($B51&gt;Trainingsdaten!$H$3,"",Trainingsdaten!$H$2)</f>
        <v/>
      </c>
      <c r="I51" s="7" t="str">
        <f>IF(B51&gt;Trainingsdaten!$H$3,"",I50+H51*N50*E51)</f>
        <v/>
      </c>
      <c r="J51" s="7" t="str">
        <f>IF(B51&gt;Trainingsdaten!$H$3,"",J50+H51*N50*F51)</f>
        <v/>
      </c>
      <c r="K51" s="7" t="str">
        <f>IF(B51&gt;Trainingsdaten!$H$3,"",K50+H51*N50)</f>
        <v/>
      </c>
      <c r="L51" s="7" t="str">
        <f>IF(B51&gt;Trainingsdaten!$H$3,"",E51*I51+F51*J51+K51)</f>
        <v/>
      </c>
      <c r="M51" s="7" t="str">
        <f>IF(B51&gt;Trainingsdaten!$H$3,"",IF(L51&gt;0,1,0))</f>
        <v/>
      </c>
      <c r="N51" s="7" t="str">
        <f>IF(B51&gt;Trainingsdaten!$H$3,"",G51-M51)</f>
        <v/>
      </c>
    </row>
    <row r="52" spans="1:14" x14ac:dyDescent="0.25">
      <c r="A52" s="9" t="str">
        <f>IF($B52&gt;Trainingsdaten!$H$3,"",MOD(ROW()-4,Trainingsdaten!$H$4)+1)</f>
        <v/>
      </c>
      <c r="B52" s="11" t="str">
        <f>IF(INT((ROW()-4)/Trainingsdaten!$H$4)+1&gt;Trainingsdaten!$H$3,"",INT((ROW()-4)/Trainingsdaten!$H$4)+1)</f>
        <v/>
      </c>
      <c r="C52" s="9" t="str">
        <f>IF(INT((ROW()-4)/Trainingsdaten!$H$4)+1&gt;Trainingsdaten!$H$3,"",MOD(ROW()-4,Trainingsdaten!$H$4)+1)</f>
        <v/>
      </c>
      <c r="D52" s="9" t="str">
        <f>IF($B52&gt;Trainingsdaten!$H$3,"",INDEX(Trainingsdaten!B:B,$C52+1))</f>
        <v/>
      </c>
      <c r="E52" s="7" t="str">
        <f>IF($B52&gt;Trainingsdaten!$H$3,"",INDEX(Trainingsdaten!C:C,$C52+1))</f>
        <v/>
      </c>
      <c r="F52" s="7" t="str">
        <f>IF($B52&gt;Trainingsdaten!$H$3,"",INDEX(Trainingsdaten!D:D,$C52+1))</f>
        <v/>
      </c>
      <c r="G52" s="7" t="str">
        <f>IF($B52&gt;Trainingsdaten!$H$3,"",INDEX(Trainingsdaten!E:E,$C52+1))</f>
        <v/>
      </c>
      <c r="H52" s="11" t="str">
        <f>IF($B52&gt;Trainingsdaten!$H$3,"",Trainingsdaten!$H$2)</f>
        <v/>
      </c>
      <c r="I52" s="7" t="str">
        <f>IF(B52&gt;Trainingsdaten!$H$3,"",I51+H52*N51*E52)</f>
        <v/>
      </c>
      <c r="J52" s="7" t="str">
        <f>IF(B52&gt;Trainingsdaten!$H$3,"",J51+H52*N51*F52)</f>
        <v/>
      </c>
      <c r="K52" s="7" t="str">
        <f>IF(B52&gt;Trainingsdaten!$H$3,"",K51+H52*N51)</f>
        <v/>
      </c>
      <c r="L52" s="7" t="str">
        <f>IF(B52&gt;Trainingsdaten!$H$3,"",E52*I52+F52*J52+K52)</f>
        <v/>
      </c>
      <c r="M52" s="7" t="str">
        <f>IF(B52&gt;Trainingsdaten!$H$3,"",IF(L52&gt;0,1,0))</f>
        <v/>
      </c>
      <c r="N52" s="7" t="str">
        <f>IF(B52&gt;Trainingsdaten!$H$3,"",G52-M52)</f>
        <v/>
      </c>
    </row>
    <row r="53" spans="1:14" x14ac:dyDescent="0.25">
      <c r="A53" s="9" t="str">
        <f>IF($B53&gt;Trainingsdaten!$H$3,"",MOD(ROW()-4,Trainingsdaten!$H$4)+1)</f>
        <v/>
      </c>
      <c r="B53" s="11" t="str">
        <f>IF(INT((ROW()-4)/Trainingsdaten!$H$4)+1&gt;Trainingsdaten!$H$3,"",INT((ROW()-4)/Trainingsdaten!$H$4)+1)</f>
        <v/>
      </c>
      <c r="C53" s="9" t="str">
        <f>IF(INT((ROW()-4)/Trainingsdaten!$H$4)+1&gt;Trainingsdaten!$H$3,"",MOD(ROW()-4,Trainingsdaten!$H$4)+1)</f>
        <v/>
      </c>
      <c r="D53" s="9" t="str">
        <f>IF($B53&gt;Trainingsdaten!$H$3,"",INDEX(Trainingsdaten!B:B,$C53+1))</f>
        <v/>
      </c>
      <c r="E53" s="7" t="str">
        <f>IF($B53&gt;Trainingsdaten!$H$3,"",INDEX(Trainingsdaten!C:C,$C53+1))</f>
        <v/>
      </c>
      <c r="F53" s="7" t="str">
        <f>IF($B53&gt;Trainingsdaten!$H$3,"",INDEX(Trainingsdaten!D:D,$C53+1))</f>
        <v/>
      </c>
      <c r="G53" s="7" t="str">
        <f>IF($B53&gt;Trainingsdaten!$H$3,"",INDEX(Trainingsdaten!E:E,$C53+1))</f>
        <v/>
      </c>
      <c r="H53" s="11" t="str">
        <f>IF($B53&gt;Trainingsdaten!$H$3,"",Trainingsdaten!$H$2)</f>
        <v/>
      </c>
      <c r="I53" s="7" t="str">
        <f>IF(B53&gt;Trainingsdaten!$H$3,"",I52+H53*N52*E53)</f>
        <v/>
      </c>
      <c r="J53" s="7" t="str">
        <f>IF(B53&gt;Trainingsdaten!$H$3,"",J52+H53*N52*F53)</f>
        <v/>
      </c>
      <c r="K53" s="7" t="str">
        <f>IF(B53&gt;Trainingsdaten!$H$3,"",K52+H53*N52)</f>
        <v/>
      </c>
      <c r="L53" s="7" t="str">
        <f>IF(B53&gt;Trainingsdaten!$H$3,"",E53*I53+F53*J53+K53)</f>
        <v/>
      </c>
      <c r="M53" s="7" t="str">
        <f>IF(B53&gt;Trainingsdaten!$H$3,"",IF(L53&gt;0,1,0))</f>
        <v/>
      </c>
      <c r="N53" s="7" t="str">
        <f>IF(B53&gt;Trainingsdaten!$H$3,"",G53-M53)</f>
        <v/>
      </c>
    </row>
    <row r="54" spans="1:14" x14ac:dyDescent="0.25">
      <c r="A54" s="9" t="str">
        <f>IF($B54&gt;Trainingsdaten!$H$3,"",MOD(ROW()-4,Trainingsdaten!$H$4)+1)</f>
        <v/>
      </c>
      <c r="B54" s="11" t="str">
        <f>IF(INT((ROW()-4)/Trainingsdaten!$H$4)+1&gt;Trainingsdaten!$H$3,"",INT((ROW()-4)/Trainingsdaten!$H$4)+1)</f>
        <v/>
      </c>
      <c r="C54" s="9" t="str">
        <f>IF(INT((ROW()-4)/Trainingsdaten!$H$4)+1&gt;Trainingsdaten!$H$3,"",MOD(ROW()-4,Trainingsdaten!$H$4)+1)</f>
        <v/>
      </c>
      <c r="D54" s="9" t="str">
        <f>IF($B54&gt;Trainingsdaten!$H$3,"",INDEX(Trainingsdaten!B:B,$C54+1))</f>
        <v/>
      </c>
      <c r="E54" s="7" t="str">
        <f>IF($B54&gt;Trainingsdaten!$H$3,"",INDEX(Trainingsdaten!C:C,$C54+1))</f>
        <v/>
      </c>
      <c r="F54" s="7" t="str">
        <f>IF($B54&gt;Trainingsdaten!$H$3,"",INDEX(Trainingsdaten!D:D,$C54+1))</f>
        <v/>
      </c>
      <c r="G54" s="7" t="str">
        <f>IF($B54&gt;Trainingsdaten!$H$3,"",INDEX(Trainingsdaten!E:E,$C54+1))</f>
        <v/>
      </c>
      <c r="H54" s="11" t="str">
        <f>IF($B54&gt;Trainingsdaten!$H$3,"",Trainingsdaten!$H$2)</f>
        <v/>
      </c>
      <c r="I54" s="7" t="str">
        <f>IF(B54&gt;Trainingsdaten!$H$3,"",I53+H54*N53*E54)</f>
        <v/>
      </c>
      <c r="J54" s="7" t="str">
        <f>IF(B54&gt;Trainingsdaten!$H$3,"",J53+H54*N53*F54)</f>
        <v/>
      </c>
      <c r="K54" s="7" t="str">
        <f>IF(B54&gt;Trainingsdaten!$H$3,"",K53+H54*N53)</f>
        <v/>
      </c>
      <c r="L54" s="7" t="str">
        <f>IF(B54&gt;Trainingsdaten!$H$3,"",E54*I54+F54*J54+K54)</f>
        <v/>
      </c>
      <c r="M54" s="7" t="str">
        <f>IF(B54&gt;Trainingsdaten!$H$3,"",IF(L54&gt;0,1,0))</f>
        <v/>
      </c>
      <c r="N54" s="7" t="str">
        <f>IF(B54&gt;Trainingsdaten!$H$3,"",G54-M54)</f>
        <v/>
      </c>
    </row>
    <row r="55" spans="1:14" x14ac:dyDescent="0.25">
      <c r="A55" s="9" t="str">
        <f>IF($B55&gt;Trainingsdaten!$H$3,"",MOD(ROW()-4,Trainingsdaten!$H$4)+1)</f>
        <v/>
      </c>
      <c r="B55" s="11" t="str">
        <f>IF(INT((ROW()-4)/Trainingsdaten!$H$4)+1&gt;Trainingsdaten!$H$3,"",INT((ROW()-4)/Trainingsdaten!$H$4)+1)</f>
        <v/>
      </c>
      <c r="C55" s="9" t="str">
        <f>IF(INT((ROW()-4)/Trainingsdaten!$H$4)+1&gt;Trainingsdaten!$H$3,"",MOD(ROW()-4,Trainingsdaten!$H$4)+1)</f>
        <v/>
      </c>
      <c r="D55" s="9" t="str">
        <f>IF($B55&gt;Trainingsdaten!$H$3,"",INDEX(Trainingsdaten!B:B,$C55+1))</f>
        <v/>
      </c>
      <c r="E55" s="7" t="str">
        <f>IF($B55&gt;Trainingsdaten!$H$3,"",INDEX(Trainingsdaten!C:C,$C55+1))</f>
        <v/>
      </c>
      <c r="F55" s="7" t="str">
        <f>IF($B55&gt;Trainingsdaten!$H$3,"",INDEX(Trainingsdaten!D:D,$C55+1))</f>
        <v/>
      </c>
      <c r="G55" s="7" t="str">
        <f>IF($B55&gt;Trainingsdaten!$H$3,"",INDEX(Trainingsdaten!E:E,$C55+1))</f>
        <v/>
      </c>
      <c r="H55" s="11" t="str">
        <f>IF($B55&gt;Trainingsdaten!$H$3,"",Trainingsdaten!$H$2)</f>
        <v/>
      </c>
      <c r="I55" s="7" t="str">
        <f>IF(B55&gt;Trainingsdaten!$H$3,"",I54+H55*N54*E55)</f>
        <v/>
      </c>
      <c r="J55" s="7" t="str">
        <f>IF(B55&gt;Trainingsdaten!$H$3,"",J54+H55*N54*F55)</f>
        <v/>
      </c>
      <c r="K55" s="7" t="str">
        <f>IF(B55&gt;Trainingsdaten!$H$3,"",K54+H55*N54)</f>
        <v/>
      </c>
      <c r="L55" s="7" t="str">
        <f>IF(B55&gt;Trainingsdaten!$H$3,"",E55*I55+F55*J55+K55)</f>
        <v/>
      </c>
      <c r="M55" s="7" t="str">
        <f>IF(B55&gt;Trainingsdaten!$H$3,"",IF(L55&gt;0,1,0))</f>
        <v/>
      </c>
      <c r="N55" s="7" t="str">
        <f>IF(B55&gt;Trainingsdaten!$H$3,"",G55-M55)</f>
        <v/>
      </c>
    </row>
    <row r="56" spans="1:14" x14ac:dyDescent="0.25">
      <c r="A56" s="9" t="str">
        <f>IF($B56&gt;Trainingsdaten!$H$3,"",MOD(ROW()-4,Trainingsdaten!$H$4)+1)</f>
        <v/>
      </c>
      <c r="B56" s="11" t="str">
        <f>IF(INT((ROW()-4)/Trainingsdaten!$H$4)+1&gt;Trainingsdaten!$H$3,"",INT((ROW()-4)/Trainingsdaten!$H$4)+1)</f>
        <v/>
      </c>
      <c r="C56" s="9" t="str">
        <f>IF(INT((ROW()-4)/Trainingsdaten!$H$4)+1&gt;Trainingsdaten!$H$3,"",MOD(ROW()-4,Trainingsdaten!$H$4)+1)</f>
        <v/>
      </c>
      <c r="D56" s="9" t="str">
        <f>IF($B56&gt;Trainingsdaten!$H$3,"",INDEX(Trainingsdaten!B:B,$C56+1))</f>
        <v/>
      </c>
      <c r="E56" s="7" t="str">
        <f>IF($B56&gt;Trainingsdaten!$H$3,"",INDEX(Trainingsdaten!C:C,$C56+1))</f>
        <v/>
      </c>
      <c r="F56" s="7" t="str">
        <f>IF($B56&gt;Trainingsdaten!$H$3,"",INDEX(Trainingsdaten!D:D,$C56+1))</f>
        <v/>
      </c>
      <c r="G56" s="7" t="str">
        <f>IF($B56&gt;Trainingsdaten!$H$3,"",INDEX(Trainingsdaten!E:E,$C56+1))</f>
        <v/>
      </c>
      <c r="H56" s="11" t="str">
        <f>IF($B56&gt;Trainingsdaten!$H$3,"",Trainingsdaten!$H$2)</f>
        <v/>
      </c>
      <c r="I56" s="7" t="str">
        <f>IF(B56&gt;Trainingsdaten!$H$3,"",I55+H56*N55*E56)</f>
        <v/>
      </c>
      <c r="J56" s="7" t="str">
        <f>IF(B56&gt;Trainingsdaten!$H$3,"",J55+H56*N55*F56)</f>
        <v/>
      </c>
      <c r="K56" s="7" t="str">
        <f>IF(B56&gt;Trainingsdaten!$H$3,"",K55+H56*N55)</f>
        <v/>
      </c>
      <c r="L56" s="7" t="str">
        <f>IF(B56&gt;Trainingsdaten!$H$3,"",E56*I56+F56*J56+K56)</f>
        <v/>
      </c>
      <c r="M56" s="7" t="str">
        <f>IF(B56&gt;Trainingsdaten!$H$3,"",IF(L56&gt;0,1,0))</f>
        <v/>
      </c>
      <c r="N56" s="7" t="str">
        <f>IF(B56&gt;Trainingsdaten!$H$3,"",G56-M56)</f>
        <v/>
      </c>
    </row>
    <row r="57" spans="1:14" x14ac:dyDescent="0.25">
      <c r="A57" s="9" t="str">
        <f>IF($B57&gt;Trainingsdaten!$H$3,"",MOD(ROW()-4,Trainingsdaten!$H$4)+1)</f>
        <v/>
      </c>
      <c r="B57" s="11" t="str">
        <f>IF(INT((ROW()-4)/Trainingsdaten!$H$4)+1&gt;Trainingsdaten!$H$3,"",INT((ROW()-4)/Trainingsdaten!$H$4)+1)</f>
        <v/>
      </c>
      <c r="C57" s="9" t="str">
        <f>IF(INT((ROW()-4)/Trainingsdaten!$H$4)+1&gt;Trainingsdaten!$H$3,"",MOD(ROW()-4,Trainingsdaten!$H$4)+1)</f>
        <v/>
      </c>
      <c r="D57" s="9" t="str">
        <f>IF($B57&gt;Trainingsdaten!$H$3,"",INDEX(Trainingsdaten!B:B,$C57+1))</f>
        <v/>
      </c>
      <c r="E57" s="7" t="str">
        <f>IF($B57&gt;Trainingsdaten!$H$3,"",INDEX(Trainingsdaten!C:C,$C57+1))</f>
        <v/>
      </c>
      <c r="F57" s="7" t="str">
        <f>IF($B57&gt;Trainingsdaten!$H$3,"",INDEX(Trainingsdaten!D:D,$C57+1))</f>
        <v/>
      </c>
      <c r="G57" s="7" t="str">
        <f>IF($B57&gt;Trainingsdaten!$H$3,"",INDEX(Trainingsdaten!E:E,$C57+1))</f>
        <v/>
      </c>
      <c r="H57" s="11" t="str">
        <f>IF($B57&gt;Trainingsdaten!$H$3,"",Trainingsdaten!$H$2)</f>
        <v/>
      </c>
      <c r="I57" s="7" t="str">
        <f>IF(B57&gt;Trainingsdaten!$H$3,"",I56+H57*N56*E57)</f>
        <v/>
      </c>
      <c r="J57" s="7" t="str">
        <f>IF(B57&gt;Trainingsdaten!$H$3,"",J56+H57*N56*F57)</f>
        <v/>
      </c>
      <c r="K57" s="7" t="str">
        <f>IF(B57&gt;Trainingsdaten!$H$3,"",K56+H57*N56)</f>
        <v/>
      </c>
      <c r="L57" s="7" t="str">
        <f>IF(B57&gt;Trainingsdaten!$H$3,"",E57*I57+F57*J57+K57)</f>
        <v/>
      </c>
      <c r="M57" s="7" t="str">
        <f>IF(B57&gt;Trainingsdaten!$H$3,"",IF(L57&gt;0,1,0))</f>
        <v/>
      </c>
      <c r="N57" s="7" t="str">
        <f>IF(B57&gt;Trainingsdaten!$H$3,"",G57-M57)</f>
        <v/>
      </c>
    </row>
    <row r="58" spans="1:14" x14ac:dyDescent="0.25">
      <c r="A58" s="9" t="str">
        <f>IF($B58&gt;Trainingsdaten!$H$3,"",MOD(ROW()-4,Trainingsdaten!$H$4)+1)</f>
        <v/>
      </c>
      <c r="B58" s="11" t="str">
        <f>IF(INT((ROW()-4)/Trainingsdaten!$H$4)+1&gt;Trainingsdaten!$H$3,"",INT((ROW()-4)/Trainingsdaten!$H$4)+1)</f>
        <v/>
      </c>
      <c r="C58" s="9" t="str">
        <f>IF(INT((ROW()-4)/Trainingsdaten!$H$4)+1&gt;Trainingsdaten!$H$3,"",MOD(ROW()-4,Trainingsdaten!$H$4)+1)</f>
        <v/>
      </c>
      <c r="D58" s="9" t="str">
        <f>IF($B58&gt;Trainingsdaten!$H$3,"",INDEX(Trainingsdaten!B:B,$C58+1))</f>
        <v/>
      </c>
      <c r="E58" s="7" t="str">
        <f>IF($B58&gt;Trainingsdaten!$H$3,"",INDEX(Trainingsdaten!C:C,$C58+1))</f>
        <v/>
      </c>
      <c r="F58" s="7" t="str">
        <f>IF($B58&gt;Trainingsdaten!$H$3,"",INDEX(Trainingsdaten!D:D,$C58+1))</f>
        <v/>
      </c>
      <c r="G58" s="7" t="str">
        <f>IF($B58&gt;Trainingsdaten!$H$3,"",INDEX(Trainingsdaten!E:E,$C58+1))</f>
        <v/>
      </c>
      <c r="H58" s="11" t="str">
        <f>IF($B58&gt;Trainingsdaten!$H$3,"",Trainingsdaten!$H$2)</f>
        <v/>
      </c>
      <c r="I58" s="7" t="str">
        <f>IF(B58&gt;Trainingsdaten!$H$3,"",I57+H58*N57*E58)</f>
        <v/>
      </c>
      <c r="J58" s="7" t="str">
        <f>IF(B58&gt;Trainingsdaten!$H$3,"",J57+H58*N57*F58)</f>
        <v/>
      </c>
      <c r="K58" s="7" t="str">
        <f>IF(B58&gt;Trainingsdaten!$H$3,"",K57+H58*N57)</f>
        <v/>
      </c>
      <c r="L58" s="7" t="str">
        <f>IF(B58&gt;Trainingsdaten!$H$3,"",E58*I58+F58*J58+K58)</f>
        <v/>
      </c>
      <c r="M58" s="7" t="str">
        <f>IF(B58&gt;Trainingsdaten!$H$3,"",IF(L58&gt;0,1,0))</f>
        <v/>
      </c>
      <c r="N58" s="7" t="str">
        <f>IF(B58&gt;Trainingsdaten!$H$3,"",G58-M58)</f>
        <v/>
      </c>
    </row>
    <row r="59" spans="1:14" x14ac:dyDescent="0.25">
      <c r="A59" s="9" t="str">
        <f>IF($B59&gt;Trainingsdaten!$H$3,"",MOD(ROW()-4,Trainingsdaten!$H$4)+1)</f>
        <v/>
      </c>
      <c r="B59" s="11" t="str">
        <f>IF(INT((ROW()-4)/Trainingsdaten!$H$4)+1&gt;Trainingsdaten!$H$3,"",INT((ROW()-4)/Trainingsdaten!$H$4)+1)</f>
        <v/>
      </c>
      <c r="C59" s="9" t="str">
        <f>IF(INT((ROW()-4)/Trainingsdaten!$H$4)+1&gt;Trainingsdaten!$H$3,"",MOD(ROW()-4,Trainingsdaten!$H$4)+1)</f>
        <v/>
      </c>
      <c r="D59" s="9" t="str">
        <f>IF($B59&gt;Trainingsdaten!$H$3,"",INDEX(Trainingsdaten!B:B,$C59+1))</f>
        <v/>
      </c>
      <c r="E59" s="7" t="str">
        <f>IF($B59&gt;Trainingsdaten!$H$3,"",INDEX(Trainingsdaten!C:C,$C59+1))</f>
        <v/>
      </c>
      <c r="F59" s="7" t="str">
        <f>IF($B59&gt;Trainingsdaten!$H$3,"",INDEX(Trainingsdaten!D:D,$C59+1))</f>
        <v/>
      </c>
      <c r="G59" s="7" t="str">
        <f>IF($B59&gt;Trainingsdaten!$H$3,"",INDEX(Trainingsdaten!E:E,$C59+1))</f>
        <v/>
      </c>
      <c r="H59" s="11" t="str">
        <f>IF($B59&gt;Trainingsdaten!$H$3,"",Trainingsdaten!$H$2)</f>
        <v/>
      </c>
      <c r="I59" s="7" t="str">
        <f>IF(B59&gt;Trainingsdaten!$H$3,"",I58+H59*N58*E59)</f>
        <v/>
      </c>
      <c r="J59" s="7" t="str">
        <f>IF(B59&gt;Trainingsdaten!$H$3,"",J58+H59*N58*F59)</f>
        <v/>
      </c>
      <c r="K59" s="7" t="str">
        <f>IF(B59&gt;Trainingsdaten!$H$3,"",K58+H59*N58)</f>
        <v/>
      </c>
      <c r="L59" s="7" t="str">
        <f>IF(B59&gt;Trainingsdaten!$H$3,"",E59*I59+F59*J59+K59)</f>
        <v/>
      </c>
      <c r="M59" s="7" t="str">
        <f>IF(B59&gt;Trainingsdaten!$H$3,"",IF(L59&gt;0,1,0))</f>
        <v/>
      </c>
      <c r="N59" s="7" t="str">
        <f>IF(B59&gt;Trainingsdaten!$H$3,"",G59-M59)</f>
        <v/>
      </c>
    </row>
    <row r="60" spans="1:14" x14ac:dyDescent="0.25">
      <c r="A60" s="9" t="str">
        <f>IF($B60&gt;Trainingsdaten!$H$3,"",MOD(ROW()-4,Trainingsdaten!$H$4)+1)</f>
        <v/>
      </c>
      <c r="B60" s="11" t="str">
        <f>IF(INT((ROW()-4)/Trainingsdaten!$H$4)+1&gt;Trainingsdaten!$H$3,"",INT((ROW()-4)/Trainingsdaten!$H$4)+1)</f>
        <v/>
      </c>
      <c r="C60" s="9" t="str">
        <f>IF(INT((ROW()-4)/Trainingsdaten!$H$4)+1&gt;Trainingsdaten!$H$3,"",MOD(ROW()-4,Trainingsdaten!$H$4)+1)</f>
        <v/>
      </c>
      <c r="D60" s="9" t="str">
        <f>IF($B60&gt;Trainingsdaten!$H$3,"",INDEX(Trainingsdaten!B:B,$C60+1))</f>
        <v/>
      </c>
      <c r="E60" s="7" t="str">
        <f>IF($B60&gt;Trainingsdaten!$H$3,"",INDEX(Trainingsdaten!C:C,$C60+1))</f>
        <v/>
      </c>
      <c r="F60" s="7" t="str">
        <f>IF($B60&gt;Trainingsdaten!$H$3,"",INDEX(Trainingsdaten!D:D,$C60+1))</f>
        <v/>
      </c>
      <c r="G60" s="7" t="str">
        <f>IF($B60&gt;Trainingsdaten!$H$3,"",INDEX(Trainingsdaten!E:E,$C60+1))</f>
        <v/>
      </c>
      <c r="H60" s="11" t="str">
        <f>IF($B60&gt;Trainingsdaten!$H$3,"",Trainingsdaten!$H$2)</f>
        <v/>
      </c>
      <c r="I60" s="7" t="str">
        <f>IF(B60&gt;Trainingsdaten!$H$3,"",I59+H60*N59*E60)</f>
        <v/>
      </c>
      <c r="J60" s="7" t="str">
        <f>IF(B60&gt;Trainingsdaten!$H$3,"",J59+H60*N59*F60)</f>
        <v/>
      </c>
      <c r="K60" s="7" t="str">
        <f>IF(B60&gt;Trainingsdaten!$H$3,"",K59+H60*N59)</f>
        <v/>
      </c>
      <c r="L60" s="7" t="str">
        <f>IF(B60&gt;Trainingsdaten!$H$3,"",E60*I60+F60*J60+K60)</f>
        <v/>
      </c>
      <c r="M60" s="7" t="str">
        <f>IF(B60&gt;Trainingsdaten!$H$3,"",IF(L60&gt;0,1,0))</f>
        <v/>
      </c>
      <c r="N60" s="7" t="str">
        <f>IF(B60&gt;Trainingsdaten!$H$3,"",G60-M60)</f>
        <v/>
      </c>
    </row>
    <row r="61" spans="1:14" x14ac:dyDescent="0.25">
      <c r="A61" s="9" t="str">
        <f>IF($B61&gt;Trainingsdaten!$H$3,"",MOD(ROW()-4,Trainingsdaten!$H$4)+1)</f>
        <v/>
      </c>
      <c r="B61" s="11" t="str">
        <f>IF(INT((ROW()-4)/Trainingsdaten!$H$4)+1&gt;Trainingsdaten!$H$3,"",INT((ROW()-4)/Trainingsdaten!$H$4)+1)</f>
        <v/>
      </c>
      <c r="C61" s="9" t="str">
        <f>IF(INT((ROW()-4)/Trainingsdaten!$H$4)+1&gt;Trainingsdaten!$H$3,"",MOD(ROW()-4,Trainingsdaten!$H$4)+1)</f>
        <v/>
      </c>
      <c r="D61" s="9" t="str">
        <f>IF($B61&gt;Trainingsdaten!$H$3,"",INDEX(Trainingsdaten!B:B,$C61+1))</f>
        <v/>
      </c>
      <c r="E61" s="7" t="str">
        <f>IF($B61&gt;Trainingsdaten!$H$3,"",INDEX(Trainingsdaten!C:C,$C61+1))</f>
        <v/>
      </c>
      <c r="F61" s="7" t="str">
        <f>IF($B61&gt;Trainingsdaten!$H$3,"",INDEX(Trainingsdaten!D:D,$C61+1))</f>
        <v/>
      </c>
      <c r="G61" s="7" t="str">
        <f>IF($B61&gt;Trainingsdaten!$H$3,"",INDEX(Trainingsdaten!E:E,$C61+1))</f>
        <v/>
      </c>
      <c r="H61" s="11" t="str">
        <f>IF($B61&gt;Trainingsdaten!$H$3,"",Trainingsdaten!$H$2)</f>
        <v/>
      </c>
      <c r="I61" s="7" t="str">
        <f>IF(B61&gt;Trainingsdaten!$H$3,"",I60+H61*N60*E61)</f>
        <v/>
      </c>
      <c r="J61" s="7" t="str">
        <f>IF(B61&gt;Trainingsdaten!$H$3,"",J60+H61*N60*F61)</f>
        <v/>
      </c>
      <c r="K61" s="7" t="str">
        <f>IF(B61&gt;Trainingsdaten!$H$3,"",K60+H61*N60)</f>
        <v/>
      </c>
      <c r="L61" s="7" t="str">
        <f>IF(B61&gt;Trainingsdaten!$H$3,"",E61*I61+F61*J61+K61)</f>
        <v/>
      </c>
      <c r="M61" s="7" t="str">
        <f>IF(B61&gt;Trainingsdaten!$H$3,"",IF(L61&gt;0,1,0))</f>
        <v/>
      </c>
      <c r="N61" s="7" t="str">
        <f>IF(B61&gt;Trainingsdaten!$H$3,"",G61-M61)</f>
        <v/>
      </c>
    </row>
    <row r="62" spans="1:14" x14ac:dyDescent="0.25">
      <c r="A62" s="9" t="str">
        <f>IF($B62&gt;Trainingsdaten!$H$3,"",MOD(ROW()-4,Trainingsdaten!$H$4)+1)</f>
        <v/>
      </c>
      <c r="B62" s="11" t="str">
        <f>IF(INT((ROW()-4)/Trainingsdaten!$H$4)+1&gt;Trainingsdaten!$H$3,"",INT((ROW()-4)/Trainingsdaten!$H$4)+1)</f>
        <v/>
      </c>
      <c r="C62" s="9" t="str">
        <f>IF(INT((ROW()-4)/Trainingsdaten!$H$4)+1&gt;Trainingsdaten!$H$3,"",MOD(ROW()-4,Trainingsdaten!$H$4)+1)</f>
        <v/>
      </c>
      <c r="D62" s="9" t="str">
        <f>IF($B62&gt;Trainingsdaten!$H$3,"",INDEX(Trainingsdaten!B:B,$C62+1))</f>
        <v/>
      </c>
      <c r="E62" s="7" t="str">
        <f>IF($B62&gt;Trainingsdaten!$H$3,"",INDEX(Trainingsdaten!C:C,$C62+1))</f>
        <v/>
      </c>
      <c r="F62" s="7" t="str">
        <f>IF($B62&gt;Trainingsdaten!$H$3,"",INDEX(Trainingsdaten!D:D,$C62+1))</f>
        <v/>
      </c>
      <c r="G62" s="7" t="str">
        <f>IF($B62&gt;Trainingsdaten!$H$3,"",INDEX(Trainingsdaten!E:E,$C62+1))</f>
        <v/>
      </c>
      <c r="H62" s="11" t="str">
        <f>IF($B62&gt;Trainingsdaten!$H$3,"",Trainingsdaten!$H$2)</f>
        <v/>
      </c>
      <c r="I62" s="7" t="str">
        <f>IF(B62&gt;Trainingsdaten!$H$3,"",I61+H62*N61*E62)</f>
        <v/>
      </c>
      <c r="J62" s="7" t="str">
        <f>IF(B62&gt;Trainingsdaten!$H$3,"",J61+H62*N61*F62)</f>
        <v/>
      </c>
      <c r="K62" s="7" t="str">
        <f>IF(B62&gt;Trainingsdaten!$H$3,"",K61+H62*N61)</f>
        <v/>
      </c>
      <c r="L62" s="7" t="str">
        <f>IF(B62&gt;Trainingsdaten!$H$3,"",E62*I62+F62*J62+K62)</f>
        <v/>
      </c>
      <c r="M62" s="7" t="str">
        <f>IF(B62&gt;Trainingsdaten!$H$3,"",IF(L62&gt;0,1,0))</f>
        <v/>
      </c>
      <c r="N62" s="7" t="str">
        <f>IF(B62&gt;Trainingsdaten!$H$3,"",G62-M62)</f>
        <v/>
      </c>
    </row>
    <row r="63" spans="1:14" x14ac:dyDescent="0.25">
      <c r="A63" s="9" t="str">
        <f>IF($B63&gt;Trainingsdaten!$H$3,"",MOD(ROW()-4,Trainingsdaten!$H$4)+1)</f>
        <v/>
      </c>
      <c r="B63" s="11" t="str">
        <f>IF(INT((ROW()-4)/Trainingsdaten!$H$4)+1&gt;Trainingsdaten!$H$3,"",INT((ROW()-4)/Trainingsdaten!$H$4)+1)</f>
        <v/>
      </c>
      <c r="C63" s="9" t="str">
        <f>IF(INT((ROW()-4)/Trainingsdaten!$H$4)+1&gt;Trainingsdaten!$H$3,"",MOD(ROW()-4,Trainingsdaten!$H$4)+1)</f>
        <v/>
      </c>
      <c r="D63" s="9" t="str">
        <f>IF($B63&gt;Trainingsdaten!$H$3,"",INDEX(Trainingsdaten!B:B,$C63+1))</f>
        <v/>
      </c>
      <c r="E63" s="7" t="str">
        <f>IF($B63&gt;Trainingsdaten!$H$3,"",INDEX(Trainingsdaten!C:C,$C63+1))</f>
        <v/>
      </c>
      <c r="F63" s="7" t="str">
        <f>IF($B63&gt;Trainingsdaten!$H$3,"",INDEX(Trainingsdaten!D:D,$C63+1))</f>
        <v/>
      </c>
      <c r="G63" s="7" t="str">
        <f>IF($B63&gt;Trainingsdaten!$H$3,"",INDEX(Trainingsdaten!E:E,$C63+1))</f>
        <v/>
      </c>
      <c r="H63" s="11" t="str">
        <f>IF($B63&gt;Trainingsdaten!$H$3,"",Trainingsdaten!$H$2)</f>
        <v/>
      </c>
      <c r="I63" s="7" t="str">
        <f>IF(B63&gt;Trainingsdaten!$H$3,"",I62+H63*N62*E63)</f>
        <v/>
      </c>
      <c r="J63" s="7" t="str">
        <f>IF(B63&gt;Trainingsdaten!$H$3,"",J62+H63*N62*F63)</f>
        <v/>
      </c>
      <c r="K63" s="7" t="str">
        <f>IF(B63&gt;Trainingsdaten!$H$3,"",K62+H63*N62)</f>
        <v/>
      </c>
      <c r="L63" s="7" t="str">
        <f>IF(B63&gt;Trainingsdaten!$H$3,"",E63*I63+F63*J63+K63)</f>
        <v/>
      </c>
      <c r="M63" s="7" t="str">
        <f>IF(B63&gt;Trainingsdaten!$H$3,"",IF(L63&gt;0,1,0))</f>
        <v/>
      </c>
      <c r="N63" s="7" t="str">
        <f>IF(B63&gt;Trainingsdaten!$H$3,"",G63-M63)</f>
        <v/>
      </c>
    </row>
    <row r="64" spans="1:14" x14ac:dyDescent="0.25">
      <c r="A64" s="9" t="str">
        <f>IF($B64&gt;Trainingsdaten!$H$3,"",MOD(ROW()-4,Trainingsdaten!$H$4)+1)</f>
        <v/>
      </c>
      <c r="B64" s="11" t="str">
        <f>IF(INT((ROW()-4)/Trainingsdaten!$H$4)+1&gt;Trainingsdaten!$H$3,"",INT((ROW()-4)/Trainingsdaten!$H$4)+1)</f>
        <v/>
      </c>
      <c r="C64" s="9" t="str">
        <f>IF(INT((ROW()-4)/Trainingsdaten!$H$4)+1&gt;Trainingsdaten!$H$3,"",MOD(ROW()-4,Trainingsdaten!$H$4)+1)</f>
        <v/>
      </c>
      <c r="D64" s="9" t="str">
        <f>IF($B64&gt;Trainingsdaten!$H$3,"",INDEX(Trainingsdaten!B:B,$C64+1))</f>
        <v/>
      </c>
      <c r="E64" s="7" t="str">
        <f>IF($B64&gt;Trainingsdaten!$H$3,"",INDEX(Trainingsdaten!C:C,$C64+1))</f>
        <v/>
      </c>
      <c r="F64" s="7" t="str">
        <f>IF($B64&gt;Trainingsdaten!$H$3,"",INDEX(Trainingsdaten!D:D,$C64+1))</f>
        <v/>
      </c>
      <c r="G64" s="7" t="str">
        <f>IF($B64&gt;Trainingsdaten!$H$3,"",INDEX(Trainingsdaten!E:E,$C64+1))</f>
        <v/>
      </c>
      <c r="H64" s="11" t="str">
        <f>IF($B64&gt;Trainingsdaten!$H$3,"",Trainingsdaten!$H$2)</f>
        <v/>
      </c>
      <c r="I64" s="7" t="str">
        <f>IF(B64&gt;Trainingsdaten!$H$3,"",I63+H64*N63*E64)</f>
        <v/>
      </c>
      <c r="J64" s="7" t="str">
        <f>IF(B64&gt;Trainingsdaten!$H$3,"",J63+H64*N63*F64)</f>
        <v/>
      </c>
      <c r="K64" s="7" t="str">
        <f>IF(B64&gt;Trainingsdaten!$H$3,"",K63+H64*N63)</f>
        <v/>
      </c>
      <c r="L64" s="7" t="str">
        <f>IF(B64&gt;Trainingsdaten!$H$3,"",E64*I64+F64*J64+K64)</f>
        <v/>
      </c>
      <c r="M64" s="7" t="str">
        <f>IF(B64&gt;Trainingsdaten!$H$3,"",IF(L64&gt;0,1,0))</f>
        <v/>
      </c>
      <c r="N64" s="7" t="str">
        <f>IF(B64&gt;Trainingsdaten!$H$3,"",G64-M64)</f>
        <v/>
      </c>
    </row>
    <row r="65" spans="1:14" x14ac:dyDescent="0.25">
      <c r="A65" s="9" t="str">
        <f>IF($B65&gt;Trainingsdaten!$H$3,"",MOD(ROW()-4,Trainingsdaten!$H$4)+1)</f>
        <v/>
      </c>
      <c r="B65" s="11" t="str">
        <f>IF(INT((ROW()-4)/Trainingsdaten!$H$4)+1&gt;Trainingsdaten!$H$3,"",INT((ROW()-4)/Trainingsdaten!$H$4)+1)</f>
        <v/>
      </c>
      <c r="C65" s="9" t="str">
        <f>IF(INT((ROW()-4)/Trainingsdaten!$H$4)+1&gt;Trainingsdaten!$H$3,"",MOD(ROW()-4,Trainingsdaten!$H$4)+1)</f>
        <v/>
      </c>
      <c r="D65" s="9" t="str">
        <f>IF($B65&gt;Trainingsdaten!$H$3,"",INDEX(Trainingsdaten!B:B,$C65+1))</f>
        <v/>
      </c>
      <c r="E65" s="7" t="str">
        <f>IF($B65&gt;Trainingsdaten!$H$3,"",INDEX(Trainingsdaten!C:C,$C65+1))</f>
        <v/>
      </c>
      <c r="F65" s="7" t="str">
        <f>IF($B65&gt;Trainingsdaten!$H$3,"",INDEX(Trainingsdaten!D:D,$C65+1))</f>
        <v/>
      </c>
      <c r="G65" s="7" t="str">
        <f>IF($B65&gt;Trainingsdaten!$H$3,"",INDEX(Trainingsdaten!E:E,$C65+1))</f>
        <v/>
      </c>
      <c r="H65" s="11" t="str">
        <f>IF($B65&gt;Trainingsdaten!$H$3,"",Trainingsdaten!$H$2)</f>
        <v/>
      </c>
      <c r="I65" s="7" t="str">
        <f>IF(B65&gt;Trainingsdaten!$H$3,"",I64+H65*N64*E65)</f>
        <v/>
      </c>
      <c r="J65" s="7" t="str">
        <f>IF(B65&gt;Trainingsdaten!$H$3,"",J64+H65*N64*F65)</f>
        <v/>
      </c>
      <c r="K65" s="7" t="str">
        <f>IF(B65&gt;Trainingsdaten!$H$3,"",K64+H65*N64)</f>
        <v/>
      </c>
      <c r="L65" s="7" t="str">
        <f>IF(B65&gt;Trainingsdaten!$H$3,"",E65*I65+F65*J65+K65)</f>
        <v/>
      </c>
      <c r="M65" s="7" t="str">
        <f>IF(B65&gt;Trainingsdaten!$H$3,"",IF(L65&gt;0,1,0))</f>
        <v/>
      </c>
      <c r="N65" s="7" t="str">
        <f>IF(B65&gt;Trainingsdaten!$H$3,"",G65-M65)</f>
        <v/>
      </c>
    </row>
    <row r="66" spans="1:14" x14ac:dyDescent="0.25">
      <c r="A66" s="9" t="str">
        <f>IF($B66&gt;Trainingsdaten!$H$3,"",MOD(ROW()-4,Trainingsdaten!$H$4)+1)</f>
        <v/>
      </c>
      <c r="B66" s="11" t="str">
        <f>IF(INT((ROW()-4)/Trainingsdaten!$H$4)+1&gt;Trainingsdaten!$H$3,"",INT((ROW()-4)/Trainingsdaten!$H$4)+1)</f>
        <v/>
      </c>
      <c r="C66" s="9" t="str">
        <f>IF(INT((ROW()-4)/Trainingsdaten!$H$4)+1&gt;Trainingsdaten!$H$3,"",MOD(ROW()-4,Trainingsdaten!$H$4)+1)</f>
        <v/>
      </c>
      <c r="D66" s="9" t="str">
        <f>IF($B66&gt;Trainingsdaten!$H$3,"",INDEX(Trainingsdaten!B:B,$C66+1))</f>
        <v/>
      </c>
      <c r="E66" s="7" t="str">
        <f>IF($B66&gt;Trainingsdaten!$H$3,"",INDEX(Trainingsdaten!C:C,$C66+1))</f>
        <v/>
      </c>
      <c r="F66" s="7" t="str">
        <f>IF($B66&gt;Trainingsdaten!$H$3,"",INDEX(Trainingsdaten!D:D,$C66+1))</f>
        <v/>
      </c>
      <c r="G66" s="7" t="str">
        <f>IF($B66&gt;Trainingsdaten!$H$3,"",INDEX(Trainingsdaten!E:E,$C66+1))</f>
        <v/>
      </c>
      <c r="H66" s="11" t="str">
        <f>IF($B66&gt;Trainingsdaten!$H$3,"",Trainingsdaten!$H$2)</f>
        <v/>
      </c>
      <c r="I66" s="7" t="str">
        <f>IF(B66&gt;Trainingsdaten!$H$3,"",I65+H66*N65*E66)</f>
        <v/>
      </c>
      <c r="J66" s="7" t="str">
        <f>IF(B66&gt;Trainingsdaten!$H$3,"",J65+H66*N65*F66)</f>
        <v/>
      </c>
      <c r="K66" s="7" t="str">
        <f>IF(B66&gt;Trainingsdaten!$H$3,"",K65+H66*N65)</f>
        <v/>
      </c>
      <c r="L66" s="7" t="str">
        <f>IF(B66&gt;Trainingsdaten!$H$3,"",E66*I66+F66*J66+K66)</f>
        <v/>
      </c>
      <c r="M66" s="7" t="str">
        <f>IF(B66&gt;Trainingsdaten!$H$3,"",IF(L66&gt;0,1,0))</f>
        <v/>
      </c>
      <c r="N66" s="7" t="str">
        <f>IF(B66&gt;Trainingsdaten!$H$3,"",G66-M66)</f>
        <v/>
      </c>
    </row>
    <row r="67" spans="1:14" x14ac:dyDescent="0.25">
      <c r="A67" s="9" t="str">
        <f>IF($B67&gt;Trainingsdaten!$H$3,"",MOD(ROW()-4,Trainingsdaten!$H$4)+1)</f>
        <v/>
      </c>
      <c r="B67" s="11" t="str">
        <f>IF(INT((ROW()-4)/Trainingsdaten!$H$4)+1&gt;Trainingsdaten!$H$3,"",INT((ROW()-4)/Trainingsdaten!$H$4)+1)</f>
        <v/>
      </c>
      <c r="C67" s="9" t="str">
        <f>IF(INT((ROW()-4)/Trainingsdaten!$H$4)+1&gt;Trainingsdaten!$H$3,"",MOD(ROW()-4,Trainingsdaten!$H$4)+1)</f>
        <v/>
      </c>
      <c r="D67" s="9" t="str">
        <f>IF($B67&gt;Trainingsdaten!$H$3,"",INDEX(Trainingsdaten!B:B,$C67+1))</f>
        <v/>
      </c>
      <c r="E67" s="7" t="str">
        <f>IF($B67&gt;Trainingsdaten!$H$3,"",INDEX(Trainingsdaten!C:C,$C67+1))</f>
        <v/>
      </c>
      <c r="F67" s="7" t="str">
        <f>IF($B67&gt;Trainingsdaten!$H$3,"",INDEX(Trainingsdaten!D:D,$C67+1))</f>
        <v/>
      </c>
      <c r="G67" s="7" t="str">
        <f>IF($B67&gt;Trainingsdaten!$H$3,"",INDEX(Trainingsdaten!E:E,$C67+1))</f>
        <v/>
      </c>
      <c r="H67" s="11" t="str">
        <f>IF($B67&gt;Trainingsdaten!$H$3,"",Trainingsdaten!$H$2)</f>
        <v/>
      </c>
      <c r="I67" s="7" t="str">
        <f>IF(B67&gt;Trainingsdaten!$H$3,"",I66+H67*N66*E67)</f>
        <v/>
      </c>
      <c r="J67" s="7" t="str">
        <f>IF(B67&gt;Trainingsdaten!$H$3,"",J66+H67*N66*F67)</f>
        <v/>
      </c>
      <c r="K67" s="7" t="str">
        <f>IF(B67&gt;Trainingsdaten!$H$3,"",K66+H67*N66)</f>
        <v/>
      </c>
      <c r="L67" s="7" t="str">
        <f>IF(B67&gt;Trainingsdaten!$H$3,"",E67*I67+F67*J67+K67)</f>
        <v/>
      </c>
      <c r="M67" s="7" t="str">
        <f>IF(B67&gt;Trainingsdaten!$H$3,"",IF(L67&gt;0,1,0))</f>
        <v/>
      </c>
      <c r="N67" s="7" t="str">
        <f>IF(B67&gt;Trainingsdaten!$H$3,"",G67-M67)</f>
        <v/>
      </c>
    </row>
    <row r="68" spans="1:14" x14ac:dyDescent="0.25">
      <c r="A68" s="9" t="str">
        <f>IF($B68&gt;Trainingsdaten!$H$3,"",MOD(ROW()-4,Trainingsdaten!$H$4)+1)</f>
        <v/>
      </c>
      <c r="B68" s="11" t="str">
        <f>IF(INT((ROW()-4)/Trainingsdaten!$H$4)+1&gt;Trainingsdaten!$H$3,"",INT((ROW()-4)/Trainingsdaten!$H$4)+1)</f>
        <v/>
      </c>
      <c r="C68" s="9" t="str">
        <f>IF(INT((ROW()-4)/Trainingsdaten!$H$4)+1&gt;Trainingsdaten!$H$3,"",MOD(ROW()-4,Trainingsdaten!$H$4)+1)</f>
        <v/>
      </c>
      <c r="D68" s="9" t="str">
        <f>IF($B68&gt;Trainingsdaten!$H$3,"",INDEX(Trainingsdaten!B:B,$C68+1))</f>
        <v/>
      </c>
      <c r="E68" s="7" t="str">
        <f>IF($B68&gt;Trainingsdaten!$H$3,"",INDEX(Trainingsdaten!C:C,$C68+1))</f>
        <v/>
      </c>
      <c r="F68" s="7" t="str">
        <f>IF($B68&gt;Trainingsdaten!$H$3,"",INDEX(Trainingsdaten!D:D,$C68+1))</f>
        <v/>
      </c>
      <c r="G68" s="7" t="str">
        <f>IF($B68&gt;Trainingsdaten!$H$3,"",INDEX(Trainingsdaten!E:E,$C68+1))</f>
        <v/>
      </c>
      <c r="H68" s="11" t="str">
        <f>IF($B68&gt;Trainingsdaten!$H$3,"",Trainingsdaten!$H$2)</f>
        <v/>
      </c>
      <c r="I68" s="7" t="str">
        <f>IF(B68&gt;Trainingsdaten!$H$3,"",I67+H68*N67*E68)</f>
        <v/>
      </c>
      <c r="J68" s="7" t="str">
        <f>IF(B68&gt;Trainingsdaten!$H$3,"",J67+H68*N67*F68)</f>
        <v/>
      </c>
      <c r="K68" s="7" t="str">
        <f>IF(B68&gt;Trainingsdaten!$H$3,"",K67+H68*N67)</f>
        <v/>
      </c>
      <c r="L68" s="7" t="str">
        <f>IF(B68&gt;Trainingsdaten!$H$3,"",E68*I68+F68*J68+K68)</f>
        <v/>
      </c>
      <c r="M68" s="7" t="str">
        <f>IF(B68&gt;Trainingsdaten!$H$3,"",IF(L68&gt;0,1,0))</f>
        <v/>
      </c>
      <c r="N68" s="7" t="str">
        <f>IF(B68&gt;Trainingsdaten!$H$3,"",G68-M68)</f>
        <v/>
      </c>
    </row>
    <row r="69" spans="1:14" x14ac:dyDescent="0.25">
      <c r="A69" s="9" t="str">
        <f>IF($B69&gt;Trainingsdaten!$H$3,"",MOD(ROW()-4,Trainingsdaten!$H$4)+1)</f>
        <v/>
      </c>
      <c r="B69" s="11" t="str">
        <f>IF(INT((ROW()-4)/Trainingsdaten!$H$4)+1&gt;Trainingsdaten!$H$3,"",INT((ROW()-4)/Trainingsdaten!$H$4)+1)</f>
        <v/>
      </c>
      <c r="C69" s="9" t="str">
        <f>IF(INT((ROW()-4)/Trainingsdaten!$H$4)+1&gt;Trainingsdaten!$H$3,"",MOD(ROW()-4,Trainingsdaten!$H$4)+1)</f>
        <v/>
      </c>
      <c r="D69" s="9" t="str">
        <f>IF($B69&gt;Trainingsdaten!$H$3,"",INDEX(Trainingsdaten!B:B,$C69+1))</f>
        <v/>
      </c>
      <c r="E69" s="7" t="str">
        <f>IF($B69&gt;Trainingsdaten!$H$3,"",INDEX(Trainingsdaten!C:C,$C69+1))</f>
        <v/>
      </c>
      <c r="F69" s="7" t="str">
        <f>IF($B69&gt;Trainingsdaten!$H$3,"",INDEX(Trainingsdaten!D:D,$C69+1))</f>
        <v/>
      </c>
      <c r="G69" s="7" t="str">
        <f>IF($B69&gt;Trainingsdaten!$H$3,"",INDEX(Trainingsdaten!E:E,$C69+1))</f>
        <v/>
      </c>
      <c r="H69" s="11" t="str">
        <f>IF($B69&gt;Trainingsdaten!$H$3,"",Trainingsdaten!$H$2)</f>
        <v/>
      </c>
      <c r="I69" s="7" t="str">
        <f>IF(B69&gt;Trainingsdaten!$H$3,"",I68+H69*N68*E69)</f>
        <v/>
      </c>
      <c r="J69" s="7" t="str">
        <f>IF(B69&gt;Trainingsdaten!$H$3,"",J68+H69*N68*F69)</f>
        <v/>
      </c>
      <c r="K69" s="7" t="str">
        <f>IF(B69&gt;Trainingsdaten!$H$3,"",K68+H69*N68)</f>
        <v/>
      </c>
      <c r="L69" s="7" t="str">
        <f>IF(B69&gt;Trainingsdaten!$H$3,"",E69*I69+F69*J69+K69)</f>
        <v/>
      </c>
      <c r="M69" s="7" t="str">
        <f>IF(B69&gt;Trainingsdaten!$H$3,"",IF(L69&gt;0,1,0))</f>
        <v/>
      </c>
      <c r="N69" s="7" t="str">
        <f>IF(B69&gt;Trainingsdaten!$H$3,"",G69-M69)</f>
        <v/>
      </c>
    </row>
    <row r="70" spans="1:14" x14ac:dyDescent="0.25">
      <c r="A70" s="9" t="str">
        <f>IF($B70&gt;Trainingsdaten!$H$3,"",MOD(ROW()-4,Trainingsdaten!$H$4)+1)</f>
        <v/>
      </c>
      <c r="B70" s="11" t="str">
        <f>IF(INT((ROW()-4)/Trainingsdaten!$H$4)+1&gt;Trainingsdaten!$H$3,"",INT((ROW()-4)/Trainingsdaten!$H$4)+1)</f>
        <v/>
      </c>
      <c r="C70" s="9" t="str">
        <f>IF(INT((ROW()-4)/Trainingsdaten!$H$4)+1&gt;Trainingsdaten!$H$3,"",MOD(ROW()-4,Trainingsdaten!$H$4)+1)</f>
        <v/>
      </c>
      <c r="D70" s="9" t="str">
        <f>IF($B70&gt;Trainingsdaten!$H$3,"",INDEX(Trainingsdaten!B:B,$C70+1))</f>
        <v/>
      </c>
      <c r="E70" s="7" t="str">
        <f>IF($B70&gt;Trainingsdaten!$H$3,"",INDEX(Trainingsdaten!C:C,$C70+1))</f>
        <v/>
      </c>
      <c r="F70" s="7" t="str">
        <f>IF($B70&gt;Trainingsdaten!$H$3,"",INDEX(Trainingsdaten!D:D,$C70+1))</f>
        <v/>
      </c>
      <c r="G70" s="7" t="str">
        <f>IF($B70&gt;Trainingsdaten!$H$3,"",INDEX(Trainingsdaten!E:E,$C70+1))</f>
        <v/>
      </c>
      <c r="H70" s="11" t="str">
        <f>IF($B70&gt;Trainingsdaten!$H$3,"",Trainingsdaten!$H$2)</f>
        <v/>
      </c>
      <c r="I70" s="7" t="str">
        <f>IF(B70&gt;Trainingsdaten!$H$3,"",I69+H70*N69*E70)</f>
        <v/>
      </c>
      <c r="J70" s="7" t="str">
        <f>IF(B70&gt;Trainingsdaten!$H$3,"",J69+H70*N69*F70)</f>
        <v/>
      </c>
      <c r="K70" s="7" t="str">
        <f>IF(B70&gt;Trainingsdaten!$H$3,"",K69+H70*N69)</f>
        <v/>
      </c>
      <c r="L70" s="7" t="str">
        <f>IF(B70&gt;Trainingsdaten!$H$3,"",E70*I70+F70*J70+K70)</f>
        <v/>
      </c>
      <c r="M70" s="7" t="str">
        <f>IF(B70&gt;Trainingsdaten!$H$3,"",IF(L70&gt;0,1,0))</f>
        <v/>
      </c>
      <c r="N70" s="7" t="str">
        <f>IF(B70&gt;Trainingsdaten!$H$3,"",G70-M70)</f>
        <v/>
      </c>
    </row>
    <row r="71" spans="1:14" x14ac:dyDescent="0.25">
      <c r="A71" s="9" t="str">
        <f>IF($B71&gt;Trainingsdaten!$H$3,"",MOD(ROW()-4,Trainingsdaten!$H$4)+1)</f>
        <v/>
      </c>
      <c r="B71" s="11" t="str">
        <f>IF(INT((ROW()-4)/Trainingsdaten!$H$4)+1&gt;Trainingsdaten!$H$3,"",INT((ROW()-4)/Trainingsdaten!$H$4)+1)</f>
        <v/>
      </c>
      <c r="C71" s="9" t="str">
        <f>IF(INT((ROW()-4)/Trainingsdaten!$H$4)+1&gt;Trainingsdaten!$H$3,"",MOD(ROW()-4,Trainingsdaten!$H$4)+1)</f>
        <v/>
      </c>
      <c r="D71" s="9" t="str">
        <f>IF($B71&gt;Trainingsdaten!$H$3,"",INDEX(Trainingsdaten!B:B,$C71+1))</f>
        <v/>
      </c>
      <c r="E71" s="7" t="str">
        <f>IF($B71&gt;Trainingsdaten!$H$3,"",INDEX(Trainingsdaten!C:C,$C71+1))</f>
        <v/>
      </c>
      <c r="F71" s="7" t="str">
        <f>IF($B71&gt;Trainingsdaten!$H$3,"",INDEX(Trainingsdaten!D:D,$C71+1))</f>
        <v/>
      </c>
      <c r="G71" s="7" t="str">
        <f>IF($B71&gt;Trainingsdaten!$H$3,"",INDEX(Trainingsdaten!E:E,$C71+1))</f>
        <v/>
      </c>
      <c r="H71" s="11" t="str">
        <f>IF($B71&gt;Trainingsdaten!$H$3,"",Trainingsdaten!$H$2)</f>
        <v/>
      </c>
      <c r="I71" s="7" t="str">
        <f>IF(B71&gt;Trainingsdaten!$H$3,"",I70+H71*N70*E71)</f>
        <v/>
      </c>
      <c r="J71" s="7" t="str">
        <f>IF(B71&gt;Trainingsdaten!$H$3,"",J70+H71*N70*F71)</f>
        <v/>
      </c>
      <c r="K71" s="7" t="str">
        <f>IF(B71&gt;Trainingsdaten!$H$3,"",K70+H71*N70)</f>
        <v/>
      </c>
      <c r="L71" s="7" t="str">
        <f>IF(B71&gt;Trainingsdaten!$H$3,"",E71*I71+F71*J71+K71)</f>
        <v/>
      </c>
      <c r="M71" s="7" t="str">
        <f>IF(B71&gt;Trainingsdaten!$H$3,"",IF(L71&gt;0,1,0))</f>
        <v/>
      </c>
      <c r="N71" s="7" t="str">
        <f>IF(B71&gt;Trainingsdaten!$H$3,"",G71-M71)</f>
        <v/>
      </c>
    </row>
    <row r="72" spans="1:14" x14ac:dyDescent="0.25">
      <c r="A72" s="9" t="str">
        <f>IF($B72&gt;Trainingsdaten!$H$3,"",MOD(ROW()-4,Trainingsdaten!$H$4)+1)</f>
        <v/>
      </c>
      <c r="B72" s="11" t="str">
        <f>IF(INT((ROW()-4)/Trainingsdaten!$H$4)+1&gt;Trainingsdaten!$H$3,"",INT((ROW()-4)/Trainingsdaten!$H$4)+1)</f>
        <v/>
      </c>
      <c r="C72" s="9" t="str">
        <f>IF(INT((ROW()-4)/Trainingsdaten!$H$4)+1&gt;Trainingsdaten!$H$3,"",MOD(ROW()-4,Trainingsdaten!$H$4)+1)</f>
        <v/>
      </c>
      <c r="D72" s="9" t="str">
        <f>IF($B72&gt;Trainingsdaten!$H$3,"",INDEX(Trainingsdaten!B:B,$C72+1))</f>
        <v/>
      </c>
      <c r="E72" s="7" t="str">
        <f>IF($B72&gt;Trainingsdaten!$H$3,"",INDEX(Trainingsdaten!C:C,$C72+1))</f>
        <v/>
      </c>
      <c r="F72" s="7" t="str">
        <f>IF($B72&gt;Trainingsdaten!$H$3,"",INDEX(Trainingsdaten!D:D,$C72+1))</f>
        <v/>
      </c>
      <c r="G72" s="7" t="str">
        <f>IF($B72&gt;Trainingsdaten!$H$3,"",INDEX(Trainingsdaten!E:E,$C72+1))</f>
        <v/>
      </c>
      <c r="H72" s="11" t="str">
        <f>IF($B72&gt;Trainingsdaten!$H$3,"",Trainingsdaten!$H$2)</f>
        <v/>
      </c>
      <c r="I72" s="7" t="str">
        <f>IF(B72&gt;Trainingsdaten!$H$3,"",I71+H72*N71*E72)</f>
        <v/>
      </c>
      <c r="J72" s="7" t="str">
        <f>IF(B72&gt;Trainingsdaten!$H$3,"",J71+H72*N71*F72)</f>
        <v/>
      </c>
      <c r="K72" s="7" t="str">
        <f>IF(B72&gt;Trainingsdaten!$H$3,"",K71+H72*N71)</f>
        <v/>
      </c>
      <c r="L72" s="7" t="str">
        <f>IF(B72&gt;Trainingsdaten!$H$3,"",E72*I72+F72*J72+K72)</f>
        <v/>
      </c>
      <c r="M72" s="7" t="str">
        <f>IF(B72&gt;Trainingsdaten!$H$3,"",IF(L72&gt;0,1,0))</f>
        <v/>
      </c>
      <c r="N72" s="7" t="str">
        <f>IF(B72&gt;Trainingsdaten!$H$3,"",G72-M72)</f>
        <v/>
      </c>
    </row>
    <row r="73" spans="1:14" x14ac:dyDescent="0.25">
      <c r="A73" s="9" t="str">
        <f>IF($B73&gt;Trainingsdaten!$H$3,"",MOD(ROW()-4,Trainingsdaten!$H$4)+1)</f>
        <v/>
      </c>
      <c r="B73" s="11" t="str">
        <f>IF(INT((ROW()-4)/Trainingsdaten!$H$4)+1&gt;Trainingsdaten!$H$3,"",INT((ROW()-4)/Trainingsdaten!$H$4)+1)</f>
        <v/>
      </c>
      <c r="C73" s="9" t="str">
        <f>IF(INT((ROW()-4)/Trainingsdaten!$H$4)+1&gt;Trainingsdaten!$H$3,"",MOD(ROW()-4,Trainingsdaten!$H$4)+1)</f>
        <v/>
      </c>
      <c r="D73" s="9" t="str">
        <f>IF($B73&gt;Trainingsdaten!$H$3,"",INDEX(Trainingsdaten!B:B,$C73+1))</f>
        <v/>
      </c>
      <c r="E73" s="7" t="str">
        <f>IF($B73&gt;Trainingsdaten!$H$3,"",INDEX(Trainingsdaten!C:C,$C73+1))</f>
        <v/>
      </c>
      <c r="F73" s="7" t="str">
        <f>IF($B73&gt;Trainingsdaten!$H$3,"",INDEX(Trainingsdaten!D:D,$C73+1))</f>
        <v/>
      </c>
      <c r="G73" s="7" t="str">
        <f>IF($B73&gt;Trainingsdaten!$H$3,"",INDEX(Trainingsdaten!E:E,$C73+1))</f>
        <v/>
      </c>
      <c r="H73" s="11" t="str">
        <f>IF($B73&gt;Trainingsdaten!$H$3,"",Trainingsdaten!$H$2)</f>
        <v/>
      </c>
      <c r="I73" s="7" t="str">
        <f>IF(B73&gt;Trainingsdaten!$H$3,"",I72+H73*N72*E73)</f>
        <v/>
      </c>
      <c r="J73" s="7" t="str">
        <f>IF(B73&gt;Trainingsdaten!$H$3,"",J72+H73*N72*F73)</f>
        <v/>
      </c>
      <c r="K73" s="7" t="str">
        <f>IF(B73&gt;Trainingsdaten!$H$3,"",K72+H73*N72)</f>
        <v/>
      </c>
      <c r="L73" s="7" t="str">
        <f>IF(B73&gt;Trainingsdaten!$H$3,"",E73*I73+F73*J73+K73)</f>
        <v/>
      </c>
      <c r="M73" s="7" t="str">
        <f>IF(B73&gt;Trainingsdaten!$H$3,"",IF(L73&gt;0,1,0))</f>
        <v/>
      </c>
      <c r="N73" s="7" t="str">
        <f>IF(B73&gt;Trainingsdaten!$H$3,"",G73-M73)</f>
        <v/>
      </c>
    </row>
    <row r="74" spans="1:14" x14ac:dyDescent="0.25">
      <c r="A74" s="9" t="str">
        <f>IF($B74&gt;Trainingsdaten!$H$3,"",MOD(ROW()-4,Trainingsdaten!$H$4)+1)</f>
        <v/>
      </c>
      <c r="B74" s="11" t="str">
        <f>IF(INT((ROW()-4)/Trainingsdaten!$H$4)+1&gt;Trainingsdaten!$H$3,"",INT((ROW()-4)/Trainingsdaten!$H$4)+1)</f>
        <v/>
      </c>
      <c r="C74" s="9" t="str">
        <f>IF(INT((ROW()-4)/Trainingsdaten!$H$4)+1&gt;Trainingsdaten!$H$3,"",MOD(ROW()-4,Trainingsdaten!$H$4)+1)</f>
        <v/>
      </c>
      <c r="D74" s="9" t="str">
        <f>IF($B74&gt;Trainingsdaten!$H$3,"",INDEX(Trainingsdaten!B:B,$C74+1))</f>
        <v/>
      </c>
      <c r="E74" s="7" t="str">
        <f>IF($B74&gt;Trainingsdaten!$H$3,"",INDEX(Trainingsdaten!C:C,$C74+1))</f>
        <v/>
      </c>
      <c r="F74" s="7" t="str">
        <f>IF($B74&gt;Trainingsdaten!$H$3,"",INDEX(Trainingsdaten!D:D,$C74+1))</f>
        <v/>
      </c>
      <c r="G74" s="7" t="str">
        <f>IF($B74&gt;Trainingsdaten!$H$3,"",INDEX(Trainingsdaten!E:E,$C74+1))</f>
        <v/>
      </c>
      <c r="H74" s="11" t="str">
        <f>IF($B74&gt;Trainingsdaten!$H$3,"",Trainingsdaten!$H$2)</f>
        <v/>
      </c>
      <c r="I74" s="7" t="str">
        <f>IF(B74&gt;Trainingsdaten!$H$3,"",I73+H74*N73*E74)</f>
        <v/>
      </c>
      <c r="J74" s="7" t="str">
        <f>IF(B74&gt;Trainingsdaten!$H$3,"",J73+H74*N73*F74)</f>
        <v/>
      </c>
      <c r="K74" s="7" t="str">
        <f>IF(B74&gt;Trainingsdaten!$H$3,"",K73+H74*N73)</f>
        <v/>
      </c>
      <c r="L74" s="7" t="str">
        <f>IF(B74&gt;Trainingsdaten!$H$3,"",E74*I74+F74*J74+K74)</f>
        <v/>
      </c>
      <c r="M74" s="7" t="str">
        <f>IF(B74&gt;Trainingsdaten!$H$3,"",IF(L74&gt;0,1,0))</f>
        <v/>
      </c>
      <c r="N74" s="7" t="str">
        <f>IF(B74&gt;Trainingsdaten!$H$3,"",G74-M74)</f>
        <v/>
      </c>
    </row>
    <row r="75" spans="1:14" x14ac:dyDescent="0.25">
      <c r="A75" s="9" t="str">
        <f>IF($B75&gt;Trainingsdaten!$H$3,"",MOD(ROW()-4,Trainingsdaten!$H$4)+1)</f>
        <v/>
      </c>
      <c r="B75" s="11" t="str">
        <f>IF(INT((ROW()-4)/Trainingsdaten!$H$4)+1&gt;Trainingsdaten!$H$3,"",INT((ROW()-4)/Trainingsdaten!$H$4)+1)</f>
        <v/>
      </c>
      <c r="C75" s="9" t="str">
        <f>IF(INT((ROW()-4)/Trainingsdaten!$H$4)+1&gt;Trainingsdaten!$H$3,"",MOD(ROW()-4,Trainingsdaten!$H$4)+1)</f>
        <v/>
      </c>
      <c r="D75" s="9" t="str">
        <f>IF($B75&gt;Trainingsdaten!$H$3,"",INDEX(Trainingsdaten!B:B,$C75+1))</f>
        <v/>
      </c>
      <c r="E75" s="7" t="str">
        <f>IF($B75&gt;Trainingsdaten!$H$3,"",INDEX(Trainingsdaten!C:C,$C75+1))</f>
        <v/>
      </c>
      <c r="F75" s="7" t="str">
        <f>IF($B75&gt;Trainingsdaten!$H$3,"",INDEX(Trainingsdaten!D:D,$C75+1))</f>
        <v/>
      </c>
      <c r="G75" s="7" t="str">
        <f>IF($B75&gt;Trainingsdaten!$H$3,"",INDEX(Trainingsdaten!E:E,$C75+1))</f>
        <v/>
      </c>
      <c r="H75" s="11" t="str">
        <f>IF($B75&gt;Trainingsdaten!$H$3,"",Trainingsdaten!$H$2)</f>
        <v/>
      </c>
      <c r="I75" s="7" t="str">
        <f>IF(B75&gt;Trainingsdaten!$H$3,"",I74+H75*N74*E75)</f>
        <v/>
      </c>
      <c r="J75" s="7" t="str">
        <f>IF(B75&gt;Trainingsdaten!$H$3,"",J74+H75*N74*F75)</f>
        <v/>
      </c>
      <c r="K75" s="7" t="str">
        <f>IF(B75&gt;Trainingsdaten!$H$3,"",K74+H75*N74)</f>
        <v/>
      </c>
      <c r="L75" s="7" t="str">
        <f>IF(B75&gt;Trainingsdaten!$H$3,"",E75*I75+F75*J75+K75)</f>
        <v/>
      </c>
      <c r="M75" s="7" t="str">
        <f>IF(B75&gt;Trainingsdaten!$H$3,"",IF(L75&gt;0,1,0))</f>
        <v/>
      </c>
      <c r="N75" s="7" t="str">
        <f>IF(B75&gt;Trainingsdaten!$H$3,"",G75-M75)</f>
        <v/>
      </c>
    </row>
    <row r="76" spans="1:14" x14ac:dyDescent="0.25">
      <c r="A76" s="9" t="str">
        <f>IF($B76&gt;Trainingsdaten!$H$3,"",MOD(ROW()-4,Trainingsdaten!$H$4)+1)</f>
        <v/>
      </c>
      <c r="B76" s="11" t="str">
        <f>IF(INT((ROW()-4)/Trainingsdaten!$H$4)+1&gt;Trainingsdaten!$H$3,"",INT((ROW()-4)/Trainingsdaten!$H$4)+1)</f>
        <v/>
      </c>
      <c r="C76" s="9" t="str">
        <f>IF(INT((ROW()-4)/Trainingsdaten!$H$4)+1&gt;Trainingsdaten!$H$3,"",MOD(ROW()-4,Trainingsdaten!$H$4)+1)</f>
        <v/>
      </c>
      <c r="D76" s="9" t="str">
        <f>IF($B76&gt;Trainingsdaten!$H$3,"",INDEX(Trainingsdaten!B:B,$C76+1))</f>
        <v/>
      </c>
      <c r="E76" s="7" t="str">
        <f>IF($B76&gt;Trainingsdaten!$H$3,"",INDEX(Trainingsdaten!C:C,$C76+1))</f>
        <v/>
      </c>
      <c r="F76" s="7" t="str">
        <f>IF($B76&gt;Trainingsdaten!$H$3,"",INDEX(Trainingsdaten!D:D,$C76+1))</f>
        <v/>
      </c>
      <c r="G76" s="7" t="str">
        <f>IF($B76&gt;Trainingsdaten!$H$3,"",INDEX(Trainingsdaten!E:E,$C76+1))</f>
        <v/>
      </c>
      <c r="H76" s="11" t="str">
        <f>IF($B76&gt;Trainingsdaten!$H$3,"",Trainingsdaten!$H$2)</f>
        <v/>
      </c>
      <c r="I76" s="7" t="str">
        <f>IF(B76&gt;Trainingsdaten!$H$3,"",I75+H76*N75*E76)</f>
        <v/>
      </c>
      <c r="J76" s="7" t="str">
        <f>IF(B76&gt;Trainingsdaten!$H$3,"",J75+H76*N75*F76)</f>
        <v/>
      </c>
      <c r="K76" s="7" t="str">
        <f>IF(B76&gt;Trainingsdaten!$H$3,"",K75+H76*N75)</f>
        <v/>
      </c>
      <c r="L76" s="7" t="str">
        <f>IF(B76&gt;Trainingsdaten!$H$3,"",E76*I76+F76*J76+K76)</f>
        <v/>
      </c>
      <c r="M76" s="7" t="str">
        <f>IF(B76&gt;Trainingsdaten!$H$3,"",IF(L76&gt;0,1,0))</f>
        <v/>
      </c>
      <c r="N76" s="7" t="str">
        <f>IF(B76&gt;Trainingsdaten!$H$3,"",G76-M76)</f>
        <v/>
      </c>
    </row>
    <row r="77" spans="1:14" x14ac:dyDescent="0.25">
      <c r="A77" s="9" t="str">
        <f>IF($B77&gt;Trainingsdaten!$H$3,"",MOD(ROW()-4,Trainingsdaten!$H$4)+1)</f>
        <v/>
      </c>
      <c r="B77" s="11" t="str">
        <f>IF(INT((ROW()-4)/Trainingsdaten!$H$4)+1&gt;Trainingsdaten!$H$3,"",INT((ROW()-4)/Trainingsdaten!$H$4)+1)</f>
        <v/>
      </c>
      <c r="C77" s="9" t="str">
        <f>IF(INT((ROW()-4)/Trainingsdaten!$H$4)+1&gt;Trainingsdaten!$H$3,"",MOD(ROW()-4,Trainingsdaten!$H$4)+1)</f>
        <v/>
      </c>
      <c r="D77" s="9" t="str">
        <f>IF($B77&gt;Trainingsdaten!$H$3,"",INDEX(Trainingsdaten!B:B,$C77+1))</f>
        <v/>
      </c>
      <c r="E77" s="7" t="str">
        <f>IF($B77&gt;Trainingsdaten!$H$3,"",INDEX(Trainingsdaten!C:C,$C77+1))</f>
        <v/>
      </c>
      <c r="F77" s="7" t="str">
        <f>IF($B77&gt;Trainingsdaten!$H$3,"",INDEX(Trainingsdaten!D:D,$C77+1))</f>
        <v/>
      </c>
      <c r="G77" s="7" t="str">
        <f>IF($B77&gt;Trainingsdaten!$H$3,"",INDEX(Trainingsdaten!E:E,$C77+1))</f>
        <v/>
      </c>
      <c r="H77" s="11" t="str">
        <f>IF($B77&gt;Trainingsdaten!$H$3,"",Trainingsdaten!$H$2)</f>
        <v/>
      </c>
      <c r="I77" s="7" t="str">
        <f>IF(B77&gt;Trainingsdaten!$H$3,"",I76+H77*N76*E77)</f>
        <v/>
      </c>
      <c r="J77" s="7" t="str">
        <f>IF(B77&gt;Trainingsdaten!$H$3,"",J76+H77*N76*F77)</f>
        <v/>
      </c>
      <c r="K77" s="7" t="str">
        <f>IF(B77&gt;Trainingsdaten!$H$3,"",K76+H77*N76)</f>
        <v/>
      </c>
      <c r="L77" s="7" t="str">
        <f>IF(B77&gt;Trainingsdaten!$H$3,"",E77*I77+F77*J77+K77)</f>
        <v/>
      </c>
      <c r="M77" s="7" t="str">
        <f>IF(B77&gt;Trainingsdaten!$H$3,"",IF(L77&gt;0,1,0))</f>
        <v/>
      </c>
      <c r="N77" s="7" t="str">
        <f>IF(B77&gt;Trainingsdaten!$H$3,"",G77-M77)</f>
        <v/>
      </c>
    </row>
    <row r="78" spans="1:14" x14ac:dyDescent="0.25">
      <c r="A78" s="9" t="str">
        <f>IF($B78&gt;Trainingsdaten!$H$3,"",MOD(ROW()-4,Trainingsdaten!$H$4)+1)</f>
        <v/>
      </c>
      <c r="B78" s="11" t="str">
        <f>IF(INT((ROW()-4)/Trainingsdaten!$H$4)+1&gt;Trainingsdaten!$H$3,"",INT((ROW()-4)/Trainingsdaten!$H$4)+1)</f>
        <v/>
      </c>
      <c r="C78" s="9" t="str">
        <f>IF(INT((ROW()-4)/Trainingsdaten!$H$4)+1&gt;Trainingsdaten!$H$3,"",MOD(ROW()-4,Trainingsdaten!$H$4)+1)</f>
        <v/>
      </c>
      <c r="D78" s="9" t="str">
        <f>IF($B78&gt;Trainingsdaten!$H$3,"",INDEX(Trainingsdaten!B:B,$C78+1))</f>
        <v/>
      </c>
      <c r="E78" s="7" t="str">
        <f>IF($B78&gt;Trainingsdaten!$H$3,"",INDEX(Trainingsdaten!C:C,$C78+1))</f>
        <v/>
      </c>
      <c r="F78" s="7" t="str">
        <f>IF($B78&gt;Trainingsdaten!$H$3,"",INDEX(Trainingsdaten!D:D,$C78+1))</f>
        <v/>
      </c>
      <c r="G78" s="7" t="str">
        <f>IF($B78&gt;Trainingsdaten!$H$3,"",INDEX(Trainingsdaten!E:E,$C78+1))</f>
        <v/>
      </c>
      <c r="H78" s="11" t="str">
        <f>IF($B78&gt;Trainingsdaten!$H$3,"",Trainingsdaten!$H$2)</f>
        <v/>
      </c>
      <c r="I78" s="7" t="str">
        <f>IF(B78&gt;Trainingsdaten!$H$3,"",I77+H78*N77*E78)</f>
        <v/>
      </c>
      <c r="J78" s="7" t="str">
        <f>IF(B78&gt;Trainingsdaten!$H$3,"",J77+H78*N77*F78)</f>
        <v/>
      </c>
      <c r="K78" s="7" t="str">
        <f>IF(B78&gt;Trainingsdaten!$H$3,"",K77+H78*N77)</f>
        <v/>
      </c>
      <c r="L78" s="7" t="str">
        <f>IF(B78&gt;Trainingsdaten!$H$3,"",E78*I78+F78*J78+K78)</f>
        <v/>
      </c>
      <c r="M78" s="7" t="str">
        <f>IF(B78&gt;Trainingsdaten!$H$3,"",IF(L78&gt;0,1,0))</f>
        <v/>
      </c>
      <c r="N78" s="7" t="str">
        <f>IF(B78&gt;Trainingsdaten!$H$3,"",G78-M78)</f>
        <v/>
      </c>
    </row>
    <row r="79" spans="1:14" x14ac:dyDescent="0.25">
      <c r="A79" s="9" t="str">
        <f>IF($B79&gt;Trainingsdaten!$H$3,"",MOD(ROW()-4,Trainingsdaten!$H$4)+1)</f>
        <v/>
      </c>
      <c r="B79" s="11" t="str">
        <f>IF(INT((ROW()-4)/Trainingsdaten!$H$4)+1&gt;Trainingsdaten!$H$3,"",INT((ROW()-4)/Trainingsdaten!$H$4)+1)</f>
        <v/>
      </c>
      <c r="C79" s="9" t="str">
        <f>IF(INT((ROW()-4)/Trainingsdaten!$H$4)+1&gt;Trainingsdaten!$H$3,"",MOD(ROW()-4,Trainingsdaten!$H$4)+1)</f>
        <v/>
      </c>
      <c r="D79" s="9" t="str">
        <f>IF($B79&gt;Trainingsdaten!$H$3,"",INDEX(Trainingsdaten!B:B,$C79+1))</f>
        <v/>
      </c>
      <c r="E79" s="7" t="str">
        <f>IF($B79&gt;Trainingsdaten!$H$3,"",INDEX(Trainingsdaten!C:C,$C79+1))</f>
        <v/>
      </c>
      <c r="F79" s="7" t="str">
        <f>IF($B79&gt;Trainingsdaten!$H$3,"",INDEX(Trainingsdaten!D:D,$C79+1))</f>
        <v/>
      </c>
      <c r="G79" s="7" t="str">
        <f>IF($B79&gt;Trainingsdaten!$H$3,"",INDEX(Trainingsdaten!E:E,$C79+1))</f>
        <v/>
      </c>
      <c r="H79" s="11" t="str">
        <f>IF($B79&gt;Trainingsdaten!$H$3,"",Trainingsdaten!$H$2)</f>
        <v/>
      </c>
      <c r="I79" s="7" t="str">
        <f>IF(B79&gt;Trainingsdaten!$H$3,"",I78+H79*N78*E79)</f>
        <v/>
      </c>
      <c r="J79" s="7" t="str">
        <f>IF(B79&gt;Trainingsdaten!$H$3,"",J78+H79*N78*F79)</f>
        <v/>
      </c>
      <c r="K79" s="7" t="str">
        <f>IF(B79&gt;Trainingsdaten!$H$3,"",K78+H79*N78)</f>
        <v/>
      </c>
      <c r="L79" s="7" t="str">
        <f>IF(B79&gt;Trainingsdaten!$H$3,"",E79*I79+F79*J79+K79)</f>
        <v/>
      </c>
      <c r="M79" s="7" t="str">
        <f>IF(B79&gt;Trainingsdaten!$H$3,"",IF(L79&gt;0,1,0))</f>
        <v/>
      </c>
      <c r="N79" s="7" t="str">
        <f>IF(B79&gt;Trainingsdaten!$H$3,"",G79-M79)</f>
        <v/>
      </c>
    </row>
    <row r="80" spans="1:14" x14ac:dyDescent="0.25">
      <c r="A80" s="9" t="str">
        <f>IF($B80&gt;Trainingsdaten!$H$3,"",MOD(ROW()-4,Trainingsdaten!$H$4)+1)</f>
        <v/>
      </c>
      <c r="B80" s="11" t="str">
        <f>IF(INT((ROW()-4)/Trainingsdaten!$H$4)+1&gt;Trainingsdaten!$H$3,"",INT((ROW()-4)/Trainingsdaten!$H$4)+1)</f>
        <v/>
      </c>
      <c r="C80" s="9" t="str">
        <f>IF(INT((ROW()-4)/Trainingsdaten!$H$4)+1&gt;Trainingsdaten!$H$3,"",MOD(ROW()-4,Trainingsdaten!$H$4)+1)</f>
        <v/>
      </c>
      <c r="D80" s="9" t="str">
        <f>IF($B80&gt;Trainingsdaten!$H$3,"",INDEX(Trainingsdaten!B:B,$C80+1))</f>
        <v/>
      </c>
      <c r="E80" s="7" t="str">
        <f>IF($B80&gt;Trainingsdaten!$H$3,"",INDEX(Trainingsdaten!C:C,$C80+1))</f>
        <v/>
      </c>
      <c r="F80" s="7" t="str">
        <f>IF($B80&gt;Trainingsdaten!$H$3,"",INDEX(Trainingsdaten!D:D,$C80+1))</f>
        <v/>
      </c>
      <c r="G80" s="7" t="str">
        <f>IF($B80&gt;Trainingsdaten!$H$3,"",INDEX(Trainingsdaten!E:E,$C80+1))</f>
        <v/>
      </c>
      <c r="H80" s="11" t="str">
        <f>IF($B80&gt;Trainingsdaten!$H$3,"",Trainingsdaten!$H$2)</f>
        <v/>
      </c>
      <c r="I80" s="7" t="str">
        <f>IF(B80&gt;Trainingsdaten!$H$3,"",I79+H80*N79*E80)</f>
        <v/>
      </c>
      <c r="J80" s="7" t="str">
        <f>IF(B80&gt;Trainingsdaten!$H$3,"",J79+H80*N79*F80)</f>
        <v/>
      </c>
      <c r="K80" s="7" t="str">
        <f>IF(B80&gt;Trainingsdaten!$H$3,"",K79+H80*N79)</f>
        <v/>
      </c>
      <c r="L80" s="7" t="str">
        <f>IF(B80&gt;Trainingsdaten!$H$3,"",E80*I80+F80*J80+K80)</f>
        <v/>
      </c>
      <c r="M80" s="7" t="str">
        <f>IF(B80&gt;Trainingsdaten!$H$3,"",IF(L80&gt;0,1,0))</f>
        <v/>
      </c>
      <c r="N80" s="7" t="str">
        <f>IF(B80&gt;Trainingsdaten!$H$3,"",G80-M80)</f>
        <v/>
      </c>
    </row>
    <row r="81" spans="1:14" x14ac:dyDescent="0.25">
      <c r="A81" s="9" t="str">
        <f>IF($B81&gt;Trainingsdaten!$H$3,"",MOD(ROW()-4,Trainingsdaten!$H$4)+1)</f>
        <v/>
      </c>
      <c r="B81" s="11" t="str">
        <f>IF(INT((ROW()-4)/Trainingsdaten!$H$4)+1&gt;Trainingsdaten!$H$3,"",INT((ROW()-4)/Trainingsdaten!$H$4)+1)</f>
        <v/>
      </c>
      <c r="C81" s="9" t="str">
        <f>IF(INT((ROW()-4)/Trainingsdaten!$H$4)+1&gt;Trainingsdaten!$H$3,"",MOD(ROW()-4,Trainingsdaten!$H$4)+1)</f>
        <v/>
      </c>
      <c r="D81" s="9" t="str">
        <f>IF($B81&gt;Trainingsdaten!$H$3,"",INDEX(Trainingsdaten!B:B,$C81+1))</f>
        <v/>
      </c>
      <c r="E81" s="7" t="str">
        <f>IF($B81&gt;Trainingsdaten!$H$3,"",INDEX(Trainingsdaten!C:C,$C81+1))</f>
        <v/>
      </c>
      <c r="F81" s="7" t="str">
        <f>IF($B81&gt;Trainingsdaten!$H$3,"",INDEX(Trainingsdaten!D:D,$C81+1))</f>
        <v/>
      </c>
      <c r="G81" s="7" t="str">
        <f>IF($B81&gt;Trainingsdaten!$H$3,"",INDEX(Trainingsdaten!E:E,$C81+1))</f>
        <v/>
      </c>
      <c r="H81" s="11" t="str">
        <f>IF($B81&gt;Trainingsdaten!$H$3,"",Trainingsdaten!$H$2)</f>
        <v/>
      </c>
      <c r="I81" s="7" t="str">
        <f>IF(B81&gt;Trainingsdaten!$H$3,"",I80+H81*N80*E81)</f>
        <v/>
      </c>
      <c r="J81" s="7" t="str">
        <f>IF(B81&gt;Trainingsdaten!$H$3,"",J80+H81*N80*F81)</f>
        <v/>
      </c>
      <c r="K81" s="7" t="str">
        <f>IF(B81&gt;Trainingsdaten!$H$3,"",K80+H81*N80)</f>
        <v/>
      </c>
      <c r="L81" s="7" t="str">
        <f>IF(B81&gt;Trainingsdaten!$H$3,"",E81*I81+F81*J81+K81)</f>
        <v/>
      </c>
      <c r="M81" s="7" t="str">
        <f>IF(B81&gt;Trainingsdaten!$H$3,"",IF(L81&gt;0,1,0))</f>
        <v/>
      </c>
      <c r="N81" s="7" t="str">
        <f>IF(B81&gt;Trainingsdaten!$H$3,"",G81-M81)</f>
        <v/>
      </c>
    </row>
    <row r="82" spans="1:14" x14ac:dyDescent="0.25">
      <c r="A82" s="9" t="str">
        <f>IF($B82&gt;Trainingsdaten!$H$3,"",MOD(ROW()-4,Trainingsdaten!$H$4)+1)</f>
        <v/>
      </c>
      <c r="B82" s="11" t="str">
        <f>IF(INT((ROW()-4)/Trainingsdaten!$H$4)+1&gt;Trainingsdaten!$H$3,"",INT((ROW()-4)/Trainingsdaten!$H$4)+1)</f>
        <v/>
      </c>
      <c r="C82" s="9" t="str">
        <f>IF(INT((ROW()-4)/Trainingsdaten!$H$4)+1&gt;Trainingsdaten!$H$3,"",MOD(ROW()-4,Trainingsdaten!$H$4)+1)</f>
        <v/>
      </c>
      <c r="D82" s="9" t="str">
        <f>IF($B82&gt;Trainingsdaten!$H$3,"",INDEX(Trainingsdaten!B:B,$C82+1))</f>
        <v/>
      </c>
      <c r="E82" s="7" t="str">
        <f>IF($B82&gt;Trainingsdaten!$H$3,"",INDEX(Trainingsdaten!C:C,$C82+1))</f>
        <v/>
      </c>
      <c r="F82" s="7" t="str">
        <f>IF($B82&gt;Trainingsdaten!$H$3,"",INDEX(Trainingsdaten!D:D,$C82+1))</f>
        <v/>
      </c>
      <c r="G82" s="7" t="str">
        <f>IF($B82&gt;Trainingsdaten!$H$3,"",INDEX(Trainingsdaten!E:E,$C82+1))</f>
        <v/>
      </c>
      <c r="H82" s="11" t="str">
        <f>IF($B82&gt;Trainingsdaten!$H$3,"",Trainingsdaten!$H$2)</f>
        <v/>
      </c>
      <c r="I82" s="7" t="str">
        <f>IF(B82&gt;Trainingsdaten!$H$3,"",I81+H82*N81*E82)</f>
        <v/>
      </c>
      <c r="J82" s="7" t="str">
        <f>IF(B82&gt;Trainingsdaten!$H$3,"",J81+H82*N81*F82)</f>
        <v/>
      </c>
      <c r="K82" s="7" t="str">
        <f>IF(B82&gt;Trainingsdaten!$H$3,"",K81+H82*N81)</f>
        <v/>
      </c>
      <c r="L82" s="7" t="str">
        <f>IF(B82&gt;Trainingsdaten!$H$3,"",E82*I82+F82*J82+K82)</f>
        <v/>
      </c>
      <c r="M82" s="7" t="str">
        <f>IF(B82&gt;Trainingsdaten!$H$3,"",IF(L82&gt;0,1,0))</f>
        <v/>
      </c>
      <c r="N82" s="7" t="str">
        <f>IF(B82&gt;Trainingsdaten!$H$3,"",G82-M82)</f>
        <v/>
      </c>
    </row>
    <row r="83" spans="1:14" x14ac:dyDescent="0.25">
      <c r="A83" s="9" t="str">
        <f>IF($B83&gt;Trainingsdaten!$H$3,"",MOD(ROW()-4,Trainingsdaten!$H$4)+1)</f>
        <v/>
      </c>
      <c r="B83" s="11" t="str">
        <f>IF(INT((ROW()-4)/Trainingsdaten!$H$4)+1&gt;Trainingsdaten!$H$3,"",INT((ROW()-4)/Trainingsdaten!$H$4)+1)</f>
        <v/>
      </c>
      <c r="C83" s="9" t="str">
        <f>IF(INT((ROW()-4)/Trainingsdaten!$H$4)+1&gt;Trainingsdaten!$H$3,"",MOD(ROW()-4,Trainingsdaten!$H$4)+1)</f>
        <v/>
      </c>
      <c r="D83" s="9" t="str">
        <f>IF($B83&gt;Trainingsdaten!$H$3,"",INDEX(Trainingsdaten!B:B,$C83+1))</f>
        <v/>
      </c>
      <c r="E83" s="7" t="str">
        <f>IF($B83&gt;Trainingsdaten!$H$3,"",INDEX(Trainingsdaten!C:C,$C83+1))</f>
        <v/>
      </c>
      <c r="F83" s="7" t="str">
        <f>IF($B83&gt;Trainingsdaten!$H$3,"",INDEX(Trainingsdaten!D:D,$C83+1))</f>
        <v/>
      </c>
      <c r="G83" s="7" t="str">
        <f>IF($B83&gt;Trainingsdaten!$H$3,"",INDEX(Trainingsdaten!E:E,$C83+1))</f>
        <v/>
      </c>
      <c r="H83" s="11" t="str">
        <f>IF($B83&gt;Trainingsdaten!$H$3,"",Trainingsdaten!$H$2)</f>
        <v/>
      </c>
      <c r="I83" s="7" t="str">
        <f>IF(B83&gt;Trainingsdaten!$H$3,"",I82+H83*N82*E83)</f>
        <v/>
      </c>
      <c r="J83" s="7" t="str">
        <f>IF(B83&gt;Trainingsdaten!$H$3,"",J82+H83*N82*F83)</f>
        <v/>
      </c>
      <c r="K83" s="7" t="str">
        <f>IF(B83&gt;Trainingsdaten!$H$3,"",K82+H83*N82)</f>
        <v/>
      </c>
      <c r="L83" s="7" t="str">
        <f>IF(B83&gt;Trainingsdaten!$H$3,"",E83*I83+F83*J83+K83)</f>
        <v/>
      </c>
      <c r="M83" s="7" t="str">
        <f>IF(B83&gt;Trainingsdaten!$H$3,"",IF(L83&gt;0,1,0))</f>
        <v/>
      </c>
      <c r="N83" s="7" t="str">
        <f>IF(B83&gt;Trainingsdaten!$H$3,"",G83-M83)</f>
        <v/>
      </c>
    </row>
    <row r="84" spans="1:14" x14ac:dyDescent="0.25">
      <c r="A84" s="9" t="str">
        <f>IF($B84&gt;Trainingsdaten!$H$3,"",MOD(ROW()-4,Trainingsdaten!$H$4)+1)</f>
        <v/>
      </c>
      <c r="B84" s="11" t="str">
        <f>IF(INT((ROW()-4)/Trainingsdaten!$H$4)+1&gt;Trainingsdaten!$H$3,"",INT((ROW()-4)/Trainingsdaten!$H$4)+1)</f>
        <v/>
      </c>
      <c r="C84" s="9" t="str">
        <f>IF(INT((ROW()-4)/Trainingsdaten!$H$4)+1&gt;Trainingsdaten!$H$3,"",MOD(ROW()-4,Trainingsdaten!$H$4)+1)</f>
        <v/>
      </c>
      <c r="D84" s="9" t="str">
        <f>IF($B84&gt;Trainingsdaten!$H$3,"",INDEX(Trainingsdaten!B:B,$C84+1))</f>
        <v/>
      </c>
      <c r="E84" s="7" t="str">
        <f>IF($B84&gt;Trainingsdaten!$H$3,"",INDEX(Trainingsdaten!C:C,$C84+1))</f>
        <v/>
      </c>
      <c r="F84" s="7" t="str">
        <f>IF($B84&gt;Trainingsdaten!$H$3,"",INDEX(Trainingsdaten!D:D,$C84+1))</f>
        <v/>
      </c>
      <c r="G84" s="7" t="str">
        <f>IF($B84&gt;Trainingsdaten!$H$3,"",INDEX(Trainingsdaten!E:E,$C84+1))</f>
        <v/>
      </c>
      <c r="H84" s="11" t="str">
        <f>IF($B84&gt;Trainingsdaten!$H$3,"",Trainingsdaten!$H$2)</f>
        <v/>
      </c>
      <c r="I84" s="7" t="str">
        <f>IF(B84&gt;Trainingsdaten!$H$3,"",I83+H84*N83*E84)</f>
        <v/>
      </c>
      <c r="J84" s="7" t="str">
        <f>IF(B84&gt;Trainingsdaten!$H$3,"",J83+H84*N83*F84)</f>
        <v/>
      </c>
      <c r="K84" s="7" t="str">
        <f>IF(B84&gt;Trainingsdaten!$H$3,"",K83+H84*N83)</f>
        <v/>
      </c>
      <c r="L84" s="7" t="str">
        <f>IF(B84&gt;Trainingsdaten!$H$3,"",E84*I84+F84*J84+K84)</f>
        <v/>
      </c>
      <c r="M84" s="7" t="str">
        <f>IF(B84&gt;Trainingsdaten!$H$3,"",IF(L84&gt;0,1,0))</f>
        <v/>
      </c>
      <c r="N84" s="7" t="str">
        <f>IF(B84&gt;Trainingsdaten!$H$3,"",G84-M84)</f>
        <v/>
      </c>
    </row>
    <row r="85" spans="1:14" x14ac:dyDescent="0.25">
      <c r="A85" s="9" t="str">
        <f>IF($B85&gt;Trainingsdaten!$H$3,"",MOD(ROW()-4,Trainingsdaten!$H$4)+1)</f>
        <v/>
      </c>
      <c r="B85" s="11" t="str">
        <f>IF(INT((ROW()-4)/Trainingsdaten!$H$4)+1&gt;Trainingsdaten!$H$3,"",INT((ROW()-4)/Trainingsdaten!$H$4)+1)</f>
        <v/>
      </c>
      <c r="C85" s="9" t="str">
        <f>IF(INT((ROW()-4)/Trainingsdaten!$H$4)+1&gt;Trainingsdaten!$H$3,"",MOD(ROW()-4,Trainingsdaten!$H$4)+1)</f>
        <v/>
      </c>
      <c r="D85" s="9" t="str">
        <f>IF($B85&gt;Trainingsdaten!$H$3,"",INDEX(Trainingsdaten!B:B,$C85+1))</f>
        <v/>
      </c>
      <c r="E85" s="7" t="str">
        <f>IF($B85&gt;Trainingsdaten!$H$3,"",INDEX(Trainingsdaten!C:C,$C85+1))</f>
        <v/>
      </c>
      <c r="F85" s="7" t="str">
        <f>IF($B85&gt;Trainingsdaten!$H$3,"",INDEX(Trainingsdaten!D:D,$C85+1))</f>
        <v/>
      </c>
      <c r="G85" s="7" t="str">
        <f>IF($B85&gt;Trainingsdaten!$H$3,"",INDEX(Trainingsdaten!E:E,$C85+1))</f>
        <v/>
      </c>
      <c r="H85" s="11" t="str">
        <f>IF($B85&gt;Trainingsdaten!$H$3,"",Trainingsdaten!$H$2)</f>
        <v/>
      </c>
      <c r="I85" s="7" t="str">
        <f>IF(B85&gt;Trainingsdaten!$H$3,"",I84+H85*N84*E85)</f>
        <v/>
      </c>
      <c r="J85" s="7" t="str">
        <f>IF(B85&gt;Trainingsdaten!$H$3,"",J84+H85*N84*F85)</f>
        <v/>
      </c>
      <c r="K85" s="7" t="str">
        <f>IF(B85&gt;Trainingsdaten!$H$3,"",K84+H85*N84)</f>
        <v/>
      </c>
      <c r="L85" s="7" t="str">
        <f>IF(B85&gt;Trainingsdaten!$H$3,"",E85*I85+F85*J85+K85)</f>
        <v/>
      </c>
      <c r="M85" s="7" t="str">
        <f>IF(B85&gt;Trainingsdaten!$H$3,"",IF(L85&gt;0,1,0))</f>
        <v/>
      </c>
      <c r="N85" s="7" t="str">
        <f>IF(B85&gt;Trainingsdaten!$H$3,"",G85-M85)</f>
        <v/>
      </c>
    </row>
    <row r="86" spans="1:14" x14ac:dyDescent="0.25">
      <c r="A86" s="9" t="str">
        <f>IF($B86&gt;Trainingsdaten!$H$3,"",MOD(ROW()-4,Trainingsdaten!$H$4)+1)</f>
        <v/>
      </c>
      <c r="B86" s="11" t="str">
        <f>IF(INT((ROW()-4)/Trainingsdaten!$H$4)+1&gt;Trainingsdaten!$H$3,"",INT((ROW()-4)/Trainingsdaten!$H$4)+1)</f>
        <v/>
      </c>
      <c r="C86" s="9" t="str">
        <f>IF(INT((ROW()-4)/Trainingsdaten!$H$4)+1&gt;Trainingsdaten!$H$3,"",MOD(ROW()-4,Trainingsdaten!$H$4)+1)</f>
        <v/>
      </c>
      <c r="D86" s="9" t="str">
        <f>IF($B86&gt;Trainingsdaten!$H$3,"",INDEX(Trainingsdaten!B:B,$C86+1))</f>
        <v/>
      </c>
      <c r="E86" s="7" t="str">
        <f>IF($B86&gt;Trainingsdaten!$H$3,"",INDEX(Trainingsdaten!C:C,$C86+1))</f>
        <v/>
      </c>
      <c r="F86" s="7" t="str">
        <f>IF($B86&gt;Trainingsdaten!$H$3,"",INDEX(Trainingsdaten!D:D,$C86+1))</f>
        <v/>
      </c>
      <c r="G86" s="7" t="str">
        <f>IF($B86&gt;Trainingsdaten!$H$3,"",INDEX(Trainingsdaten!E:E,$C86+1))</f>
        <v/>
      </c>
      <c r="H86" s="11" t="str">
        <f>IF($B86&gt;Trainingsdaten!$H$3,"",Trainingsdaten!$H$2)</f>
        <v/>
      </c>
      <c r="I86" s="7" t="str">
        <f>IF(B86&gt;Trainingsdaten!$H$3,"",I85+H86*N85*E86)</f>
        <v/>
      </c>
      <c r="J86" s="7" t="str">
        <f>IF(B86&gt;Trainingsdaten!$H$3,"",J85+H86*N85*F86)</f>
        <v/>
      </c>
      <c r="K86" s="7" t="str">
        <f>IF(B86&gt;Trainingsdaten!$H$3,"",K85+H86*N85)</f>
        <v/>
      </c>
      <c r="L86" s="7" t="str">
        <f>IF(B86&gt;Trainingsdaten!$H$3,"",E86*I86+F86*J86+K86)</f>
        <v/>
      </c>
      <c r="M86" s="7" t="str">
        <f>IF(B86&gt;Trainingsdaten!$H$3,"",IF(L86&gt;0,1,0))</f>
        <v/>
      </c>
      <c r="N86" s="7" t="str">
        <f>IF(B86&gt;Trainingsdaten!$H$3,"",G86-M86)</f>
        <v/>
      </c>
    </row>
    <row r="87" spans="1:14" x14ac:dyDescent="0.25">
      <c r="A87" s="9" t="str">
        <f>IF($B87&gt;Trainingsdaten!$H$3,"",MOD(ROW()-4,Trainingsdaten!$H$4)+1)</f>
        <v/>
      </c>
      <c r="B87" s="11" t="str">
        <f>IF(INT((ROW()-4)/Trainingsdaten!$H$4)+1&gt;Trainingsdaten!$H$3,"",INT((ROW()-4)/Trainingsdaten!$H$4)+1)</f>
        <v/>
      </c>
      <c r="C87" s="9" t="str">
        <f>IF(INT((ROW()-4)/Trainingsdaten!$H$4)+1&gt;Trainingsdaten!$H$3,"",MOD(ROW()-4,Trainingsdaten!$H$4)+1)</f>
        <v/>
      </c>
      <c r="D87" s="9" t="str">
        <f>IF($B87&gt;Trainingsdaten!$H$3,"",INDEX(Trainingsdaten!B:B,$C87+1))</f>
        <v/>
      </c>
      <c r="E87" s="7" t="str">
        <f>IF($B87&gt;Trainingsdaten!$H$3,"",INDEX(Trainingsdaten!C:C,$C87+1))</f>
        <v/>
      </c>
      <c r="F87" s="7" t="str">
        <f>IF($B87&gt;Trainingsdaten!$H$3,"",INDEX(Trainingsdaten!D:D,$C87+1))</f>
        <v/>
      </c>
      <c r="G87" s="7" t="str">
        <f>IF($B87&gt;Trainingsdaten!$H$3,"",INDEX(Trainingsdaten!E:E,$C87+1))</f>
        <v/>
      </c>
      <c r="H87" s="11" t="str">
        <f>IF($B87&gt;Trainingsdaten!$H$3,"",Trainingsdaten!$H$2)</f>
        <v/>
      </c>
      <c r="I87" s="7" t="str">
        <f>IF(B87&gt;Trainingsdaten!$H$3,"",I86+H87*N86*E87)</f>
        <v/>
      </c>
      <c r="J87" s="7" t="str">
        <f>IF(B87&gt;Trainingsdaten!$H$3,"",J86+H87*N86*F87)</f>
        <v/>
      </c>
      <c r="K87" s="7" t="str">
        <f>IF(B87&gt;Trainingsdaten!$H$3,"",K86+H87*N86)</f>
        <v/>
      </c>
      <c r="L87" s="7" t="str">
        <f>IF(B87&gt;Trainingsdaten!$H$3,"",E87*I87+F87*J87+K87)</f>
        <v/>
      </c>
      <c r="M87" s="7" t="str">
        <f>IF(B87&gt;Trainingsdaten!$H$3,"",IF(L87&gt;0,1,0))</f>
        <v/>
      </c>
      <c r="N87" s="7" t="str">
        <f>IF(B87&gt;Trainingsdaten!$H$3,"",G87-M87)</f>
        <v/>
      </c>
    </row>
    <row r="88" spans="1:14" x14ac:dyDescent="0.25">
      <c r="A88" s="9" t="str">
        <f>IF($B88&gt;Trainingsdaten!$H$3,"",MOD(ROW()-4,Trainingsdaten!$H$4)+1)</f>
        <v/>
      </c>
      <c r="B88" s="11" t="str">
        <f>IF(INT((ROW()-4)/Trainingsdaten!$H$4)+1&gt;Trainingsdaten!$H$3,"",INT((ROW()-4)/Trainingsdaten!$H$4)+1)</f>
        <v/>
      </c>
      <c r="C88" s="9" t="str">
        <f>IF(INT((ROW()-4)/Trainingsdaten!$H$4)+1&gt;Trainingsdaten!$H$3,"",MOD(ROW()-4,Trainingsdaten!$H$4)+1)</f>
        <v/>
      </c>
      <c r="D88" s="9" t="str">
        <f>IF($B88&gt;Trainingsdaten!$H$3,"",INDEX(Trainingsdaten!B:B,$C88+1))</f>
        <v/>
      </c>
      <c r="E88" s="7" t="str">
        <f>IF($B88&gt;Trainingsdaten!$H$3,"",INDEX(Trainingsdaten!C:C,$C88+1))</f>
        <v/>
      </c>
      <c r="F88" s="7" t="str">
        <f>IF($B88&gt;Trainingsdaten!$H$3,"",INDEX(Trainingsdaten!D:D,$C88+1))</f>
        <v/>
      </c>
      <c r="G88" s="7" t="str">
        <f>IF($B88&gt;Trainingsdaten!$H$3,"",INDEX(Trainingsdaten!E:E,$C88+1))</f>
        <v/>
      </c>
      <c r="H88" s="11" t="str">
        <f>IF($B88&gt;Trainingsdaten!$H$3,"",Trainingsdaten!$H$2)</f>
        <v/>
      </c>
      <c r="I88" s="7" t="str">
        <f>IF(B88&gt;Trainingsdaten!$H$3,"",I87+H88*N87*E88)</f>
        <v/>
      </c>
      <c r="J88" s="7" t="str">
        <f>IF(B88&gt;Trainingsdaten!$H$3,"",J87+H88*N87*F88)</f>
        <v/>
      </c>
      <c r="K88" s="7" t="str">
        <f>IF(B88&gt;Trainingsdaten!$H$3,"",K87+H88*N87)</f>
        <v/>
      </c>
      <c r="L88" s="7" t="str">
        <f>IF(B88&gt;Trainingsdaten!$H$3,"",E88*I88+F88*J88+K88)</f>
        <v/>
      </c>
      <c r="M88" s="7" t="str">
        <f>IF(B88&gt;Trainingsdaten!$H$3,"",IF(L88&gt;0,1,0))</f>
        <v/>
      </c>
      <c r="N88" s="7" t="str">
        <f>IF(B88&gt;Trainingsdaten!$H$3,"",G88-M88)</f>
        <v/>
      </c>
    </row>
    <row r="89" spans="1:14" x14ac:dyDescent="0.25">
      <c r="A89" s="9" t="str">
        <f>IF($B89&gt;Trainingsdaten!$H$3,"",MOD(ROW()-4,Trainingsdaten!$H$4)+1)</f>
        <v/>
      </c>
      <c r="B89" s="11" t="str">
        <f>IF(INT((ROW()-4)/Trainingsdaten!$H$4)+1&gt;Trainingsdaten!$H$3,"",INT((ROW()-4)/Trainingsdaten!$H$4)+1)</f>
        <v/>
      </c>
      <c r="C89" s="9" t="str">
        <f>IF(INT((ROW()-4)/Trainingsdaten!$H$4)+1&gt;Trainingsdaten!$H$3,"",MOD(ROW()-4,Trainingsdaten!$H$4)+1)</f>
        <v/>
      </c>
      <c r="D89" s="9" t="str">
        <f>IF($B89&gt;Trainingsdaten!$H$3,"",INDEX(Trainingsdaten!B:B,$C89+1))</f>
        <v/>
      </c>
      <c r="E89" s="7" t="str">
        <f>IF($B89&gt;Trainingsdaten!$H$3,"",INDEX(Trainingsdaten!C:C,$C89+1))</f>
        <v/>
      </c>
      <c r="F89" s="7" t="str">
        <f>IF($B89&gt;Trainingsdaten!$H$3,"",INDEX(Trainingsdaten!D:D,$C89+1))</f>
        <v/>
      </c>
      <c r="G89" s="7" t="str">
        <f>IF($B89&gt;Trainingsdaten!$H$3,"",INDEX(Trainingsdaten!E:E,$C89+1))</f>
        <v/>
      </c>
      <c r="H89" s="11" t="str">
        <f>IF($B89&gt;Trainingsdaten!$H$3,"",Trainingsdaten!$H$2)</f>
        <v/>
      </c>
      <c r="I89" s="7" t="str">
        <f>IF(B89&gt;Trainingsdaten!$H$3,"",I88+H89*N88*E89)</f>
        <v/>
      </c>
      <c r="J89" s="7" t="str">
        <f>IF(B89&gt;Trainingsdaten!$H$3,"",J88+H89*N88*F89)</f>
        <v/>
      </c>
      <c r="K89" s="7" t="str">
        <f>IF(B89&gt;Trainingsdaten!$H$3,"",K88+H89*N88)</f>
        <v/>
      </c>
      <c r="L89" s="7" t="str">
        <f>IF(B89&gt;Trainingsdaten!$H$3,"",E89*I89+F89*J89+K89)</f>
        <v/>
      </c>
      <c r="M89" s="7" t="str">
        <f>IF(B89&gt;Trainingsdaten!$H$3,"",IF(L89&gt;0,1,0))</f>
        <v/>
      </c>
      <c r="N89" s="7" t="str">
        <f>IF(B89&gt;Trainingsdaten!$H$3,"",G89-M89)</f>
        <v/>
      </c>
    </row>
    <row r="90" spans="1:14" x14ac:dyDescent="0.25">
      <c r="A90" s="9" t="str">
        <f>IF($B90&gt;Trainingsdaten!$H$3,"",MOD(ROW()-4,Trainingsdaten!$H$4)+1)</f>
        <v/>
      </c>
      <c r="B90" s="11" t="str">
        <f>IF(INT((ROW()-4)/Trainingsdaten!$H$4)+1&gt;Trainingsdaten!$H$3,"",INT((ROW()-4)/Trainingsdaten!$H$4)+1)</f>
        <v/>
      </c>
      <c r="C90" s="9" t="str">
        <f>IF(INT((ROW()-4)/Trainingsdaten!$H$4)+1&gt;Trainingsdaten!$H$3,"",MOD(ROW()-4,Trainingsdaten!$H$4)+1)</f>
        <v/>
      </c>
      <c r="D90" s="9" t="str">
        <f>IF($B90&gt;Trainingsdaten!$H$3,"",INDEX(Trainingsdaten!B:B,$C90+1))</f>
        <v/>
      </c>
      <c r="E90" s="7" t="str">
        <f>IF($B90&gt;Trainingsdaten!$H$3,"",INDEX(Trainingsdaten!C:C,$C90+1))</f>
        <v/>
      </c>
      <c r="F90" s="7" t="str">
        <f>IF($B90&gt;Trainingsdaten!$H$3,"",INDEX(Trainingsdaten!D:D,$C90+1))</f>
        <v/>
      </c>
      <c r="G90" s="7" t="str">
        <f>IF($B90&gt;Trainingsdaten!$H$3,"",INDEX(Trainingsdaten!E:E,$C90+1))</f>
        <v/>
      </c>
      <c r="H90" s="11" t="str">
        <f>IF($B90&gt;Trainingsdaten!$H$3,"",Trainingsdaten!$H$2)</f>
        <v/>
      </c>
      <c r="I90" s="7" t="str">
        <f>IF(B90&gt;Trainingsdaten!$H$3,"",I89+H90*N89*E90)</f>
        <v/>
      </c>
      <c r="J90" s="7" t="str">
        <f>IF(B90&gt;Trainingsdaten!$H$3,"",J89+H90*N89*F90)</f>
        <v/>
      </c>
      <c r="K90" s="7" t="str">
        <f>IF(B90&gt;Trainingsdaten!$H$3,"",K89+H90*N89)</f>
        <v/>
      </c>
      <c r="L90" s="7" t="str">
        <f>IF(B90&gt;Trainingsdaten!$H$3,"",E90*I90+F90*J90+K90)</f>
        <v/>
      </c>
      <c r="M90" s="7" t="str">
        <f>IF(B90&gt;Trainingsdaten!$H$3,"",IF(L90&gt;0,1,0))</f>
        <v/>
      </c>
      <c r="N90" s="7" t="str">
        <f>IF(B90&gt;Trainingsdaten!$H$3,"",G90-M90)</f>
        <v/>
      </c>
    </row>
    <row r="91" spans="1:14" x14ac:dyDescent="0.25">
      <c r="A91" s="9" t="str">
        <f>IF($B91&gt;Trainingsdaten!$H$3,"",MOD(ROW()-4,Trainingsdaten!$H$4)+1)</f>
        <v/>
      </c>
      <c r="B91" s="11" t="str">
        <f>IF(INT((ROW()-4)/Trainingsdaten!$H$4)+1&gt;Trainingsdaten!$H$3,"",INT((ROW()-4)/Trainingsdaten!$H$4)+1)</f>
        <v/>
      </c>
      <c r="C91" s="9" t="str">
        <f>IF(INT((ROW()-4)/Trainingsdaten!$H$4)+1&gt;Trainingsdaten!$H$3,"",MOD(ROW()-4,Trainingsdaten!$H$4)+1)</f>
        <v/>
      </c>
      <c r="D91" s="9" t="str">
        <f>IF($B91&gt;Trainingsdaten!$H$3,"",INDEX(Trainingsdaten!B:B,$C91+1))</f>
        <v/>
      </c>
      <c r="E91" s="7" t="str">
        <f>IF($B91&gt;Trainingsdaten!$H$3,"",INDEX(Trainingsdaten!C:C,$C91+1))</f>
        <v/>
      </c>
      <c r="F91" s="7" t="str">
        <f>IF($B91&gt;Trainingsdaten!$H$3,"",INDEX(Trainingsdaten!D:D,$C91+1))</f>
        <v/>
      </c>
      <c r="G91" s="7" t="str">
        <f>IF($B91&gt;Trainingsdaten!$H$3,"",INDEX(Trainingsdaten!E:E,$C91+1))</f>
        <v/>
      </c>
      <c r="H91" s="11" t="str">
        <f>IF($B91&gt;Trainingsdaten!$H$3,"",Trainingsdaten!$H$2)</f>
        <v/>
      </c>
      <c r="I91" s="7" t="str">
        <f>IF(B91&gt;Trainingsdaten!$H$3,"",I90+H91*N90*E91)</f>
        <v/>
      </c>
      <c r="J91" s="7" t="str">
        <f>IF(B91&gt;Trainingsdaten!$H$3,"",J90+H91*N90*F91)</f>
        <v/>
      </c>
      <c r="K91" s="7" t="str">
        <f>IF(B91&gt;Trainingsdaten!$H$3,"",K90+H91*N90)</f>
        <v/>
      </c>
      <c r="L91" s="7" t="str">
        <f>IF(B91&gt;Trainingsdaten!$H$3,"",E91*I91+F91*J91+K91)</f>
        <v/>
      </c>
      <c r="M91" s="7" t="str">
        <f>IF(B91&gt;Trainingsdaten!$H$3,"",IF(L91&gt;0,1,0))</f>
        <v/>
      </c>
      <c r="N91" s="7" t="str">
        <f>IF(B91&gt;Trainingsdaten!$H$3,"",G91-M91)</f>
        <v/>
      </c>
    </row>
    <row r="92" spans="1:14" x14ac:dyDescent="0.25">
      <c r="A92" s="9" t="str">
        <f>IF($B92&gt;Trainingsdaten!$H$3,"",MOD(ROW()-4,Trainingsdaten!$H$4)+1)</f>
        <v/>
      </c>
      <c r="B92" s="11" t="str">
        <f>IF(INT((ROW()-4)/Trainingsdaten!$H$4)+1&gt;Trainingsdaten!$H$3,"",INT((ROW()-4)/Trainingsdaten!$H$4)+1)</f>
        <v/>
      </c>
      <c r="C92" s="9" t="str">
        <f>IF(INT((ROW()-4)/Trainingsdaten!$H$4)+1&gt;Trainingsdaten!$H$3,"",MOD(ROW()-4,Trainingsdaten!$H$4)+1)</f>
        <v/>
      </c>
      <c r="D92" s="9" t="str">
        <f>IF($B92&gt;Trainingsdaten!$H$3,"",INDEX(Trainingsdaten!B:B,$C92+1))</f>
        <v/>
      </c>
      <c r="E92" s="7" t="str">
        <f>IF($B92&gt;Trainingsdaten!$H$3,"",INDEX(Trainingsdaten!C:C,$C92+1))</f>
        <v/>
      </c>
      <c r="F92" s="7" t="str">
        <f>IF($B92&gt;Trainingsdaten!$H$3,"",INDEX(Trainingsdaten!D:D,$C92+1))</f>
        <v/>
      </c>
      <c r="G92" s="7" t="str">
        <f>IF($B92&gt;Trainingsdaten!$H$3,"",INDEX(Trainingsdaten!E:E,$C92+1))</f>
        <v/>
      </c>
      <c r="H92" s="11" t="str">
        <f>IF($B92&gt;Trainingsdaten!$H$3,"",Trainingsdaten!$H$2)</f>
        <v/>
      </c>
      <c r="I92" s="7" t="str">
        <f>IF(B92&gt;Trainingsdaten!$H$3,"",I91+H92*N91*E92)</f>
        <v/>
      </c>
      <c r="J92" s="7" t="str">
        <f>IF(B92&gt;Trainingsdaten!$H$3,"",J91+H92*N91*F92)</f>
        <v/>
      </c>
      <c r="K92" s="7" t="str">
        <f>IF(B92&gt;Trainingsdaten!$H$3,"",K91+H92*N91)</f>
        <v/>
      </c>
      <c r="L92" s="7" t="str">
        <f>IF(B92&gt;Trainingsdaten!$H$3,"",E92*I92+F92*J92+K92)</f>
        <v/>
      </c>
      <c r="M92" s="7" t="str">
        <f>IF(B92&gt;Trainingsdaten!$H$3,"",IF(L92&gt;0,1,0))</f>
        <v/>
      </c>
      <c r="N92" s="7" t="str">
        <f>IF(B92&gt;Trainingsdaten!$H$3,"",G92-M92)</f>
        <v/>
      </c>
    </row>
    <row r="93" spans="1:14" x14ac:dyDescent="0.25">
      <c r="A93" s="9" t="str">
        <f>IF($B93&gt;Trainingsdaten!$H$3,"",MOD(ROW()-4,Trainingsdaten!$H$4)+1)</f>
        <v/>
      </c>
      <c r="B93" s="11" t="str">
        <f>IF(INT((ROW()-4)/Trainingsdaten!$H$4)+1&gt;Trainingsdaten!$H$3,"",INT((ROW()-4)/Trainingsdaten!$H$4)+1)</f>
        <v/>
      </c>
      <c r="C93" s="9" t="str">
        <f>IF(INT((ROW()-4)/Trainingsdaten!$H$4)+1&gt;Trainingsdaten!$H$3,"",MOD(ROW()-4,Trainingsdaten!$H$4)+1)</f>
        <v/>
      </c>
      <c r="D93" s="9" t="str">
        <f>IF($B93&gt;Trainingsdaten!$H$3,"",INDEX(Trainingsdaten!B:B,$C93+1))</f>
        <v/>
      </c>
      <c r="E93" s="7" t="str">
        <f>IF($B93&gt;Trainingsdaten!$H$3,"",INDEX(Trainingsdaten!C:C,$C93+1))</f>
        <v/>
      </c>
      <c r="F93" s="7" t="str">
        <f>IF($B93&gt;Trainingsdaten!$H$3,"",INDEX(Trainingsdaten!D:D,$C93+1))</f>
        <v/>
      </c>
      <c r="G93" s="7" t="str">
        <f>IF($B93&gt;Trainingsdaten!$H$3,"",INDEX(Trainingsdaten!E:E,$C93+1))</f>
        <v/>
      </c>
      <c r="H93" s="11" t="str">
        <f>IF($B93&gt;Trainingsdaten!$H$3,"",Trainingsdaten!$H$2)</f>
        <v/>
      </c>
      <c r="I93" s="7" t="str">
        <f>IF(B93&gt;Trainingsdaten!$H$3,"",I92+H93*N92*E93)</f>
        <v/>
      </c>
      <c r="J93" s="7" t="str">
        <f>IF(B93&gt;Trainingsdaten!$H$3,"",J92+H93*N92*F93)</f>
        <v/>
      </c>
      <c r="K93" s="7" t="str">
        <f>IF(B93&gt;Trainingsdaten!$H$3,"",K92+H93*N92)</f>
        <v/>
      </c>
      <c r="L93" s="7" t="str">
        <f>IF(B93&gt;Trainingsdaten!$H$3,"",E93*I93+F93*J93+K93)</f>
        <v/>
      </c>
      <c r="M93" s="7" t="str">
        <f>IF(B93&gt;Trainingsdaten!$H$3,"",IF(L93&gt;0,1,0))</f>
        <v/>
      </c>
      <c r="N93" s="7" t="str">
        <f>IF(B93&gt;Trainingsdaten!$H$3,"",G93-M93)</f>
        <v/>
      </c>
    </row>
    <row r="94" spans="1:14" x14ac:dyDescent="0.25">
      <c r="A94" s="9" t="str">
        <f>IF($B94&gt;Trainingsdaten!$H$3,"",MOD(ROW()-4,Trainingsdaten!$H$4)+1)</f>
        <v/>
      </c>
      <c r="B94" s="11" t="str">
        <f>IF(INT((ROW()-4)/Trainingsdaten!$H$4)+1&gt;Trainingsdaten!$H$3,"",INT((ROW()-4)/Trainingsdaten!$H$4)+1)</f>
        <v/>
      </c>
      <c r="C94" s="9" t="str">
        <f>IF(INT((ROW()-4)/Trainingsdaten!$H$4)+1&gt;Trainingsdaten!$H$3,"",MOD(ROW()-4,Trainingsdaten!$H$4)+1)</f>
        <v/>
      </c>
      <c r="D94" s="9" t="str">
        <f>IF($B94&gt;Trainingsdaten!$H$3,"",INDEX(Trainingsdaten!B:B,$C94+1))</f>
        <v/>
      </c>
      <c r="E94" s="7" t="str">
        <f>IF($B94&gt;Trainingsdaten!$H$3,"",INDEX(Trainingsdaten!C:C,$C94+1))</f>
        <v/>
      </c>
      <c r="F94" s="7" t="str">
        <f>IF($B94&gt;Trainingsdaten!$H$3,"",INDEX(Trainingsdaten!D:D,$C94+1))</f>
        <v/>
      </c>
      <c r="G94" s="7" t="str">
        <f>IF($B94&gt;Trainingsdaten!$H$3,"",INDEX(Trainingsdaten!E:E,$C94+1))</f>
        <v/>
      </c>
      <c r="H94" s="11" t="str">
        <f>IF($B94&gt;Trainingsdaten!$H$3,"",Trainingsdaten!$H$2)</f>
        <v/>
      </c>
      <c r="I94" s="7" t="str">
        <f>IF(B94&gt;Trainingsdaten!$H$3,"",I93+H94*N93*E94)</f>
        <v/>
      </c>
      <c r="J94" s="7" t="str">
        <f>IF(B94&gt;Trainingsdaten!$H$3,"",J93+H94*N93*F94)</f>
        <v/>
      </c>
      <c r="K94" s="7" t="str">
        <f>IF(B94&gt;Trainingsdaten!$H$3,"",K93+H94*N93)</f>
        <v/>
      </c>
      <c r="L94" s="7" t="str">
        <f>IF(B94&gt;Trainingsdaten!$H$3,"",E94*I94+F94*J94+K94)</f>
        <v/>
      </c>
      <c r="M94" s="7" t="str">
        <f>IF(B94&gt;Trainingsdaten!$H$3,"",IF(L94&gt;0,1,0))</f>
        <v/>
      </c>
      <c r="N94" s="7" t="str">
        <f>IF(B94&gt;Trainingsdaten!$H$3,"",G94-M94)</f>
        <v/>
      </c>
    </row>
    <row r="95" spans="1:14" x14ac:dyDescent="0.25">
      <c r="A95" s="9" t="str">
        <f>IF($B95&gt;Trainingsdaten!$H$3,"",MOD(ROW()-4,Trainingsdaten!$H$4)+1)</f>
        <v/>
      </c>
      <c r="B95" s="11" t="str">
        <f>IF(INT((ROW()-4)/Trainingsdaten!$H$4)+1&gt;Trainingsdaten!$H$3,"",INT((ROW()-4)/Trainingsdaten!$H$4)+1)</f>
        <v/>
      </c>
      <c r="C95" s="9" t="str">
        <f>IF(INT((ROW()-4)/Trainingsdaten!$H$4)+1&gt;Trainingsdaten!$H$3,"",MOD(ROW()-4,Trainingsdaten!$H$4)+1)</f>
        <v/>
      </c>
      <c r="D95" s="9" t="str">
        <f>IF($B95&gt;Trainingsdaten!$H$3,"",INDEX(Trainingsdaten!B:B,$C95+1))</f>
        <v/>
      </c>
      <c r="E95" s="7" t="str">
        <f>IF($B95&gt;Trainingsdaten!$H$3,"",INDEX(Trainingsdaten!C:C,$C95+1))</f>
        <v/>
      </c>
      <c r="F95" s="7" t="str">
        <f>IF($B95&gt;Trainingsdaten!$H$3,"",INDEX(Trainingsdaten!D:D,$C95+1))</f>
        <v/>
      </c>
      <c r="G95" s="7" t="str">
        <f>IF($B95&gt;Trainingsdaten!$H$3,"",INDEX(Trainingsdaten!E:E,$C95+1))</f>
        <v/>
      </c>
      <c r="H95" s="11" t="str">
        <f>IF($B95&gt;Trainingsdaten!$H$3,"",Trainingsdaten!$H$2)</f>
        <v/>
      </c>
      <c r="I95" s="7" t="str">
        <f>IF(B95&gt;Trainingsdaten!$H$3,"",I94+H95*N94*E95)</f>
        <v/>
      </c>
      <c r="J95" s="7" t="str">
        <f>IF(B95&gt;Trainingsdaten!$H$3,"",J94+H95*N94*F95)</f>
        <v/>
      </c>
      <c r="K95" s="7" t="str">
        <f>IF(B95&gt;Trainingsdaten!$H$3,"",K94+H95*N94)</f>
        <v/>
      </c>
      <c r="L95" s="7" t="str">
        <f>IF(B95&gt;Trainingsdaten!$H$3,"",E95*I95+F95*J95+K95)</f>
        <v/>
      </c>
      <c r="M95" s="7" t="str">
        <f>IF(B95&gt;Trainingsdaten!$H$3,"",IF(L95&gt;0,1,0))</f>
        <v/>
      </c>
      <c r="N95" s="7" t="str">
        <f>IF(B95&gt;Trainingsdaten!$H$3,"",G95-M95)</f>
        <v/>
      </c>
    </row>
    <row r="96" spans="1:14" x14ac:dyDescent="0.25">
      <c r="A96" s="9" t="str">
        <f>IF($B96&gt;Trainingsdaten!$H$3,"",MOD(ROW()-4,Trainingsdaten!$H$4)+1)</f>
        <v/>
      </c>
      <c r="B96" s="11" t="str">
        <f>IF(INT((ROW()-4)/Trainingsdaten!$H$4)+1&gt;Trainingsdaten!$H$3,"",INT((ROW()-4)/Trainingsdaten!$H$4)+1)</f>
        <v/>
      </c>
      <c r="C96" s="9" t="str">
        <f>IF(INT((ROW()-4)/Trainingsdaten!$H$4)+1&gt;Trainingsdaten!$H$3,"",MOD(ROW()-4,Trainingsdaten!$H$4)+1)</f>
        <v/>
      </c>
      <c r="D96" s="9" t="str">
        <f>IF($B96&gt;Trainingsdaten!$H$3,"",INDEX(Trainingsdaten!B:B,$C96+1))</f>
        <v/>
      </c>
      <c r="E96" s="7" t="str">
        <f>IF($B96&gt;Trainingsdaten!$H$3,"",INDEX(Trainingsdaten!C:C,$C96+1))</f>
        <v/>
      </c>
      <c r="F96" s="7" t="str">
        <f>IF($B96&gt;Trainingsdaten!$H$3,"",INDEX(Trainingsdaten!D:D,$C96+1))</f>
        <v/>
      </c>
      <c r="G96" s="7" t="str">
        <f>IF($B96&gt;Trainingsdaten!$H$3,"",INDEX(Trainingsdaten!E:E,$C96+1))</f>
        <v/>
      </c>
      <c r="H96" s="11" t="str">
        <f>IF($B96&gt;Trainingsdaten!$H$3,"",Trainingsdaten!$H$2)</f>
        <v/>
      </c>
      <c r="I96" s="7" t="str">
        <f>IF(B96&gt;Trainingsdaten!$H$3,"",I95+H96*N95*E96)</f>
        <v/>
      </c>
      <c r="J96" s="7" t="str">
        <f>IF(B96&gt;Trainingsdaten!$H$3,"",J95+H96*N95*F96)</f>
        <v/>
      </c>
      <c r="K96" s="7" t="str">
        <f>IF(B96&gt;Trainingsdaten!$H$3,"",K95+H96*N95)</f>
        <v/>
      </c>
      <c r="L96" s="7" t="str">
        <f>IF(B96&gt;Trainingsdaten!$H$3,"",E96*I96+F96*J96+K96)</f>
        <v/>
      </c>
      <c r="M96" s="7" t="str">
        <f>IF(B96&gt;Trainingsdaten!$H$3,"",IF(L96&gt;0,1,0))</f>
        <v/>
      </c>
      <c r="N96" s="7" t="str">
        <f>IF(B96&gt;Trainingsdaten!$H$3,"",G96-M96)</f>
        <v/>
      </c>
    </row>
    <row r="97" spans="1:14" x14ac:dyDescent="0.25">
      <c r="A97" s="9" t="str">
        <f>IF($B97&gt;Trainingsdaten!$H$3,"",MOD(ROW()-4,Trainingsdaten!$H$4)+1)</f>
        <v/>
      </c>
      <c r="B97" s="11" t="str">
        <f>IF(INT((ROW()-4)/Trainingsdaten!$H$4)+1&gt;Trainingsdaten!$H$3,"",INT((ROW()-4)/Trainingsdaten!$H$4)+1)</f>
        <v/>
      </c>
      <c r="C97" s="9" t="str">
        <f>IF(INT((ROW()-4)/Trainingsdaten!$H$4)+1&gt;Trainingsdaten!$H$3,"",MOD(ROW()-4,Trainingsdaten!$H$4)+1)</f>
        <v/>
      </c>
      <c r="D97" s="9" t="str">
        <f>IF($B97&gt;Trainingsdaten!$H$3,"",INDEX(Trainingsdaten!B:B,$C97+1))</f>
        <v/>
      </c>
      <c r="E97" s="7" t="str">
        <f>IF($B97&gt;Trainingsdaten!$H$3,"",INDEX(Trainingsdaten!C:C,$C97+1))</f>
        <v/>
      </c>
      <c r="F97" s="7" t="str">
        <f>IF($B97&gt;Trainingsdaten!$H$3,"",INDEX(Trainingsdaten!D:D,$C97+1))</f>
        <v/>
      </c>
      <c r="G97" s="7" t="str">
        <f>IF($B97&gt;Trainingsdaten!$H$3,"",INDEX(Trainingsdaten!E:E,$C97+1))</f>
        <v/>
      </c>
      <c r="H97" s="11" t="str">
        <f>IF($B97&gt;Trainingsdaten!$H$3,"",Trainingsdaten!$H$2)</f>
        <v/>
      </c>
      <c r="I97" s="7" t="str">
        <f>IF(B97&gt;Trainingsdaten!$H$3,"",I96+H97*N96*E97)</f>
        <v/>
      </c>
      <c r="J97" s="7" t="str">
        <f>IF(B97&gt;Trainingsdaten!$H$3,"",J96+H97*N96*F97)</f>
        <v/>
      </c>
      <c r="K97" s="7" t="str">
        <f>IF(B97&gt;Trainingsdaten!$H$3,"",K96+H97*N96)</f>
        <v/>
      </c>
      <c r="L97" s="7" t="str">
        <f>IF(B97&gt;Trainingsdaten!$H$3,"",E97*I97+F97*J97+K97)</f>
        <v/>
      </c>
      <c r="M97" s="7" t="str">
        <f>IF(B97&gt;Trainingsdaten!$H$3,"",IF(L97&gt;0,1,0))</f>
        <v/>
      </c>
      <c r="N97" s="7" t="str">
        <f>IF(B97&gt;Trainingsdaten!$H$3,"",G97-M97)</f>
        <v/>
      </c>
    </row>
    <row r="98" spans="1:14" x14ac:dyDescent="0.25">
      <c r="A98" s="9" t="str">
        <f>IF($B98&gt;Trainingsdaten!$H$3,"",MOD(ROW()-4,Trainingsdaten!$H$4)+1)</f>
        <v/>
      </c>
      <c r="B98" s="11" t="str">
        <f>IF(INT((ROW()-4)/Trainingsdaten!$H$4)+1&gt;Trainingsdaten!$H$3,"",INT((ROW()-4)/Trainingsdaten!$H$4)+1)</f>
        <v/>
      </c>
      <c r="C98" s="9" t="str">
        <f>IF(INT((ROW()-4)/Trainingsdaten!$H$4)+1&gt;Trainingsdaten!$H$3,"",MOD(ROW()-4,Trainingsdaten!$H$4)+1)</f>
        <v/>
      </c>
      <c r="D98" s="9" t="str">
        <f>IF($B98&gt;Trainingsdaten!$H$3,"",INDEX(Trainingsdaten!B:B,$C98+1))</f>
        <v/>
      </c>
      <c r="E98" s="7" t="str">
        <f>IF($B98&gt;Trainingsdaten!$H$3,"",INDEX(Trainingsdaten!C:C,$C98+1))</f>
        <v/>
      </c>
      <c r="F98" s="7" t="str">
        <f>IF($B98&gt;Trainingsdaten!$H$3,"",INDEX(Trainingsdaten!D:D,$C98+1))</f>
        <v/>
      </c>
      <c r="G98" s="7" t="str">
        <f>IF($B98&gt;Trainingsdaten!$H$3,"",INDEX(Trainingsdaten!E:E,$C98+1))</f>
        <v/>
      </c>
      <c r="H98" s="11" t="str">
        <f>IF($B98&gt;Trainingsdaten!$H$3,"",Trainingsdaten!$H$2)</f>
        <v/>
      </c>
      <c r="I98" s="7" t="str">
        <f>IF(B98&gt;Trainingsdaten!$H$3,"",I97+H98*N97*E98)</f>
        <v/>
      </c>
      <c r="J98" s="7" t="str">
        <f>IF(B98&gt;Trainingsdaten!$H$3,"",J97+H98*N97*F98)</f>
        <v/>
      </c>
      <c r="K98" s="7" t="str">
        <f>IF(B98&gt;Trainingsdaten!$H$3,"",K97+H98*N97)</f>
        <v/>
      </c>
      <c r="L98" s="7" t="str">
        <f>IF(B98&gt;Trainingsdaten!$H$3,"",E98*I98+F98*J98+K98)</f>
        <v/>
      </c>
      <c r="M98" s="7" t="str">
        <f>IF(B98&gt;Trainingsdaten!$H$3,"",IF(L98&gt;0,1,0))</f>
        <v/>
      </c>
      <c r="N98" s="7" t="str">
        <f>IF(B98&gt;Trainingsdaten!$H$3,"",G98-M98)</f>
        <v/>
      </c>
    </row>
    <row r="99" spans="1:14" x14ac:dyDescent="0.25">
      <c r="A99" s="9" t="str">
        <f>IF($B99&gt;Trainingsdaten!$H$3,"",MOD(ROW()-4,Trainingsdaten!$H$4)+1)</f>
        <v/>
      </c>
      <c r="B99" s="11" t="str">
        <f>IF(INT((ROW()-4)/Trainingsdaten!$H$4)+1&gt;Trainingsdaten!$H$3,"",INT((ROW()-4)/Trainingsdaten!$H$4)+1)</f>
        <v/>
      </c>
      <c r="C99" s="9" t="str">
        <f>IF(INT((ROW()-4)/Trainingsdaten!$H$4)+1&gt;Trainingsdaten!$H$3,"",MOD(ROW()-4,Trainingsdaten!$H$4)+1)</f>
        <v/>
      </c>
      <c r="D99" s="9" t="str">
        <f>IF($B99&gt;Trainingsdaten!$H$3,"",INDEX(Trainingsdaten!B:B,$C99+1))</f>
        <v/>
      </c>
      <c r="E99" s="7" t="str">
        <f>IF($B99&gt;Trainingsdaten!$H$3,"",INDEX(Trainingsdaten!C:C,$C99+1))</f>
        <v/>
      </c>
      <c r="F99" s="7" t="str">
        <f>IF($B99&gt;Trainingsdaten!$H$3,"",INDEX(Trainingsdaten!D:D,$C99+1))</f>
        <v/>
      </c>
      <c r="G99" s="7" t="str">
        <f>IF($B99&gt;Trainingsdaten!$H$3,"",INDEX(Trainingsdaten!E:E,$C99+1))</f>
        <v/>
      </c>
      <c r="H99" s="11" t="str">
        <f>IF($B99&gt;Trainingsdaten!$H$3,"",Trainingsdaten!$H$2)</f>
        <v/>
      </c>
      <c r="I99" s="7" t="str">
        <f>IF(B99&gt;Trainingsdaten!$H$3,"",I98+H99*N98*E99)</f>
        <v/>
      </c>
      <c r="J99" s="7" t="str">
        <f>IF(B99&gt;Trainingsdaten!$H$3,"",J98+H99*N98*F99)</f>
        <v/>
      </c>
      <c r="K99" s="7" t="str">
        <f>IF(B99&gt;Trainingsdaten!$H$3,"",K98+H99*N98)</f>
        <v/>
      </c>
      <c r="L99" s="7" t="str">
        <f>IF(B99&gt;Trainingsdaten!$H$3,"",E99*I99+F99*J99+K99)</f>
        <v/>
      </c>
      <c r="M99" s="7" t="str">
        <f>IF(B99&gt;Trainingsdaten!$H$3,"",IF(L99&gt;0,1,0))</f>
        <v/>
      </c>
      <c r="N99" s="7" t="str">
        <f>IF(B99&gt;Trainingsdaten!$H$3,"",G99-M99)</f>
        <v/>
      </c>
    </row>
    <row r="100" spans="1:14" x14ac:dyDescent="0.25">
      <c r="A100" s="9" t="str">
        <f>IF($B100&gt;Trainingsdaten!$H$3,"",MOD(ROW()-4,Trainingsdaten!$H$4)+1)</f>
        <v/>
      </c>
      <c r="B100" s="11" t="str">
        <f>IF(INT((ROW()-4)/Trainingsdaten!$H$4)+1&gt;Trainingsdaten!$H$3,"",INT((ROW()-4)/Trainingsdaten!$H$4)+1)</f>
        <v/>
      </c>
      <c r="C100" s="9" t="str">
        <f>IF(INT((ROW()-4)/Trainingsdaten!$H$4)+1&gt;Trainingsdaten!$H$3,"",MOD(ROW()-4,Trainingsdaten!$H$4)+1)</f>
        <v/>
      </c>
      <c r="D100" s="9" t="str">
        <f>IF($B100&gt;Trainingsdaten!$H$3,"",INDEX(Trainingsdaten!B:B,$C100+1))</f>
        <v/>
      </c>
      <c r="E100" s="7" t="str">
        <f>IF($B100&gt;Trainingsdaten!$H$3,"",INDEX(Trainingsdaten!C:C,$C100+1))</f>
        <v/>
      </c>
      <c r="F100" s="7" t="str">
        <f>IF($B100&gt;Trainingsdaten!$H$3,"",INDEX(Trainingsdaten!D:D,$C100+1))</f>
        <v/>
      </c>
      <c r="G100" s="7" t="str">
        <f>IF($B100&gt;Trainingsdaten!$H$3,"",INDEX(Trainingsdaten!E:E,$C100+1))</f>
        <v/>
      </c>
      <c r="H100" s="11" t="str">
        <f>IF($B100&gt;Trainingsdaten!$H$3,"",Trainingsdaten!$H$2)</f>
        <v/>
      </c>
      <c r="I100" s="7" t="str">
        <f>IF(B100&gt;Trainingsdaten!$H$3,"",I99+H100*N99*E100)</f>
        <v/>
      </c>
      <c r="J100" s="7" t="str">
        <f>IF(B100&gt;Trainingsdaten!$H$3,"",J99+H100*N99*F100)</f>
        <v/>
      </c>
      <c r="K100" s="7" t="str">
        <f>IF(B100&gt;Trainingsdaten!$H$3,"",K99+H100*N99)</f>
        <v/>
      </c>
      <c r="L100" s="7" t="str">
        <f>IF(B100&gt;Trainingsdaten!$H$3,"",E100*I100+F100*J100+K100)</f>
        <v/>
      </c>
      <c r="M100" s="7" t="str">
        <f>IF(B100&gt;Trainingsdaten!$H$3,"",IF(L100&gt;0,1,0))</f>
        <v/>
      </c>
      <c r="N100" s="7" t="str">
        <f>IF(B100&gt;Trainingsdaten!$H$3,"",G100-M100)</f>
        <v/>
      </c>
    </row>
    <row r="101" spans="1:14" x14ac:dyDescent="0.25">
      <c r="A101" s="9" t="str">
        <f>IF($B101&gt;Trainingsdaten!$H$3,"",MOD(ROW()-4,Trainingsdaten!$H$4)+1)</f>
        <v/>
      </c>
      <c r="B101" s="11" t="str">
        <f>IF(INT((ROW()-4)/Trainingsdaten!$H$4)+1&gt;Trainingsdaten!$H$3,"",INT((ROW()-4)/Trainingsdaten!$H$4)+1)</f>
        <v/>
      </c>
      <c r="C101" s="9" t="str">
        <f>IF(INT((ROW()-4)/Trainingsdaten!$H$4)+1&gt;Trainingsdaten!$H$3,"",MOD(ROW()-4,Trainingsdaten!$H$4)+1)</f>
        <v/>
      </c>
      <c r="D101" s="9" t="str">
        <f>IF($B101&gt;Trainingsdaten!$H$3,"",INDEX(Trainingsdaten!B:B,$C101+1))</f>
        <v/>
      </c>
      <c r="E101" s="7" t="str">
        <f>IF($B101&gt;Trainingsdaten!$H$3,"",INDEX(Trainingsdaten!C:C,$C101+1))</f>
        <v/>
      </c>
      <c r="F101" s="7" t="str">
        <f>IF($B101&gt;Trainingsdaten!$H$3,"",INDEX(Trainingsdaten!D:D,$C101+1))</f>
        <v/>
      </c>
      <c r="G101" s="7" t="str">
        <f>IF($B101&gt;Trainingsdaten!$H$3,"",INDEX(Trainingsdaten!E:E,$C101+1))</f>
        <v/>
      </c>
      <c r="H101" s="11" t="str">
        <f>IF($B101&gt;Trainingsdaten!$H$3,"",Trainingsdaten!$H$2)</f>
        <v/>
      </c>
      <c r="I101" s="7" t="str">
        <f>IF(B101&gt;Trainingsdaten!$H$3,"",I100+H101*N100*E101)</f>
        <v/>
      </c>
      <c r="J101" s="7" t="str">
        <f>IF(B101&gt;Trainingsdaten!$H$3,"",J100+H101*N100*F101)</f>
        <v/>
      </c>
      <c r="K101" s="7" t="str">
        <f>IF(B101&gt;Trainingsdaten!$H$3,"",K100+H101*N100)</f>
        <v/>
      </c>
      <c r="L101" s="7" t="str">
        <f>IF(B101&gt;Trainingsdaten!$H$3,"",E101*I101+F101*J101+K101)</f>
        <v/>
      </c>
      <c r="M101" s="7" t="str">
        <f>IF(B101&gt;Trainingsdaten!$H$3,"",IF(L101&gt;0,1,0))</f>
        <v/>
      </c>
      <c r="N101" s="7" t="str">
        <f>IF(B101&gt;Trainingsdaten!$H$3,"",G101-M101)</f>
        <v/>
      </c>
    </row>
    <row r="102" spans="1:14" x14ac:dyDescent="0.25">
      <c r="A102" s="9" t="str">
        <f>IF($B102&gt;Trainingsdaten!$H$3,"",MOD(ROW()-4,Trainingsdaten!$H$4)+1)</f>
        <v/>
      </c>
      <c r="B102" s="11" t="str">
        <f>IF(INT((ROW()-4)/Trainingsdaten!$H$4)+1&gt;Trainingsdaten!$H$3,"",INT((ROW()-4)/Trainingsdaten!$H$4)+1)</f>
        <v/>
      </c>
      <c r="C102" s="9" t="str">
        <f>IF(INT((ROW()-4)/Trainingsdaten!$H$4)+1&gt;Trainingsdaten!$H$3,"",MOD(ROW()-4,Trainingsdaten!$H$4)+1)</f>
        <v/>
      </c>
      <c r="D102" s="9" t="str">
        <f>IF($B102&gt;Trainingsdaten!$H$3,"",INDEX(Trainingsdaten!B:B,$C102+1))</f>
        <v/>
      </c>
      <c r="E102" s="7" t="str">
        <f>IF($B102&gt;Trainingsdaten!$H$3,"",INDEX(Trainingsdaten!C:C,$C102+1))</f>
        <v/>
      </c>
      <c r="F102" s="7" t="str">
        <f>IF($B102&gt;Trainingsdaten!$H$3,"",INDEX(Trainingsdaten!D:D,$C102+1))</f>
        <v/>
      </c>
      <c r="G102" s="7" t="str">
        <f>IF($B102&gt;Trainingsdaten!$H$3,"",INDEX(Trainingsdaten!E:E,$C102+1))</f>
        <v/>
      </c>
      <c r="H102" s="11" t="str">
        <f>IF($B102&gt;Trainingsdaten!$H$3,"",Trainingsdaten!$H$2)</f>
        <v/>
      </c>
      <c r="I102" s="7" t="str">
        <f>IF(B102&gt;Trainingsdaten!$H$3,"",I101+H102*N101*E102)</f>
        <v/>
      </c>
      <c r="J102" s="7" t="str">
        <f>IF(B102&gt;Trainingsdaten!$H$3,"",J101+H102*N101*F102)</f>
        <v/>
      </c>
      <c r="K102" s="7" t="str">
        <f>IF(B102&gt;Trainingsdaten!$H$3,"",K101+H102*N101)</f>
        <v/>
      </c>
      <c r="L102" s="7" t="str">
        <f>IF(B102&gt;Trainingsdaten!$H$3,"",E102*I102+F102*J102+K102)</f>
        <v/>
      </c>
      <c r="M102" s="7" t="str">
        <f>IF(B102&gt;Trainingsdaten!$H$3,"",IF(L102&gt;0,1,0))</f>
        <v/>
      </c>
      <c r="N102" s="7" t="str">
        <f>IF(B102&gt;Trainingsdaten!$H$3,"",G102-M102)</f>
        <v/>
      </c>
    </row>
    <row r="103" spans="1:14" x14ac:dyDescent="0.25">
      <c r="A103" s="9" t="str">
        <f>IF($B103&gt;Trainingsdaten!$H$3,"",MOD(ROW()-4,Trainingsdaten!$H$4)+1)</f>
        <v/>
      </c>
      <c r="B103" s="11" t="str">
        <f>IF(INT((ROW()-4)/Trainingsdaten!$H$4)+1&gt;Trainingsdaten!$H$3,"",INT((ROW()-4)/Trainingsdaten!$H$4)+1)</f>
        <v/>
      </c>
      <c r="C103" s="9" t="str">
        <f>IF(INT((ROW()-4)/Trainingsdaten!$H$4)+1&gt;Trainingsdaten!$H$3,"",MOD(ROW()-4,Trainingsdaten!$H$4)+1)</f>
        <v/>
      </c>
      <c r="D103" s="9" t="str">
        <f>IF($B103&gt;Trainingsdaten!$H$3,"",INDEX(Trainingsdaten!B:B,$C103+1))</f>
        <v/>
      </c>
      <c r="E103" s="7" t="str">
        <f>IF($B103&gt;Trainingsdaten!$H$3,"",INDEX(Trainingsdaten!C:C,$C103+1))</f>
        <v/>
      </c>
      <c r="F103" s="7" t="str">
        <f>IF($B103&gt;Trainingsdaten!$H$3,"",INDEX(Trainingsdaten!D:D,$C103+1))</f>
        <v/>
      </c>
      <c r="G103" s="7" t="str">
        <f>IF($B103&gt;Trainingsdaten!$H$3,"",INDEX(Trainingsdaten!E:E,$C103+1))</f>
        <v/>
      </c>
      <c r="H103" s="11" t="str">
        <f>IF($B103&gt;Trainingsdaten!$H$3,"",Trainingsdaten!$H$2)</f>
        <v/>
      </c>
      <c r="I103" s="7" t="str">
        <f>IF(B103&gt;Trainingsdaten!$H$3,"",I102+H103*N102*E103)</f>
        <v/>
      </c>
      <c r="J103" s="7" t="str">
        <f>IF(B103&gt;Trainingsdaten!$H$3,"",J102+H103*N102*F103)</f>
        <v/>
      </c>
      <c r="K103" s="7" t="str">
        <f>IF(B103&gt;Trainingsdaten!$H$3,"",K102+H103*N102)</f>
        <v/>
      </c>
      <c r="L103" s="7" t="str">
        <f>IF(B103&gt;Trainingsdaten!$H$3,"",E103*I103+F103*J103+K103)</f>
        <v/>
      </c>
      <c r="M103" s="7" t="str">
        <f>IF(B103&gt;Trainingsdaten!$H$3,"",IF(L103&gt;0,1,0))</f>
        <v/>
      </c>
      <c r="N103" s="7" t="str">
        <f>IF(B103&gt;Trainingsdaten!$H$3,"",G103-M103)</f>
        <v/>
      </c>
    </row>
    <row r="104" spans="1:14" x14ac:dyDescent="0.25">
      <c r="A104" s="9" t="str">
        <f>IF($B104&gt;Trainingsdaten!$H$3,"",MOD(ROW()-4,Trainingsdaten!$H$4)+1)</f>
        <v/>
      </c>
      <c r="B104" s="11" t="str">
        <f>IF(INT((ROW()-4)/Trainingsdaten!$H$4)+1&gt;Trainingsdaten!$H$3,"",INT((ROW()-4)/Trainingsdaten!$H$4)+1)</f>
        <v/>
      </c>
      <c r="C104" s="9" t="str">
        <f>IF(INT((ROW()-4)/Trainingsdaten!$H$4)+1&gt;Trainingsdaten!$H$3,"",MOD(ROW()-4,Trainingsdaten!$H$4)+1)</f>
        <v/>
      </c>
      <c r="D104" s="9" t="str">
        <f>IF($B104&gt;Trainingsdaten!$H$3,"",INDEX(Trainingsdaten!B:B,$C104+1))</f>
        <v/>
      </c>
      <c r="E104" s="7" t="str">
        <f>IF($B104&gt;Trainingsdaten!$H$3,"",INDEX(Trainingsdaten!C:C,$C104+1))</f>
        <v/>
      </c>
      <c r="F104" s="7" t="str">
        <f>IF($B104&gt;Trainingsdaten!$H$3,"",INDEX(Trainingsdaten!D:D,$C104+1))</f>
        <v/>
      </c>
      <c r="G104" s="7" t="str">
        <f>IF($B104&gt;Trainingsdaten!$H$3,"",INDEX(Trainingsdaten!E:E,$C104+1))</f>
        <v/>
      </c>
      <c r="H104" s="11" t="str">
        <f>IF($B104&gt;Trainingsdaten!$H$3,"",Trainingsdaten!$H$2)</f>
        <v/>
      </c>
      <c r="I104" s="7" t="str">
        <f>IF(B104&gt;Trainingsdaten!$H$3,"",I103+H104*N103*E104)</f>
        <v/>
      </c>
      <c r="J104" s="7" t="str">
        <f>IF(B104&gt;Trainingsdaten!$H$3,"",J103+H104*N103*F104)</f>
        <v/>
      </c>
      <c r="K104" s="7" t="str">
        <f>IF(B104&gt;Trainingsdaten!$H$3,"",K103+H104*N103)</f>
        <v/>
      </c>
      <c r="L104" s="7" t="str">
        <f>IF(B104&gt;Trainingsdaten!$H$3,"",E104*I104+F104*J104+K104)</f>
        <v/>
      </c>
      <c r="M104" s="7" t="str">
        <f>IF(B104&gt;Trainingsdaten!$H$3,"",IF(L104&gt;0,1,0))</f>
        <v/>
      </c>
      <c r="N104" s="7" t="str">
        <f>IF(B104&gt;Trainingsdaten!$H$3,"",G104-M104)</f>
        <v/>
      </c>
    </row>
    <row r="105" spans="1:14" x14ac:dyDescent="0.25">
      <c r="A105" s="9" t="str">
        <f>IF($B105&gt;Trainingsdaten!$H$3,"",MOD(ROW()-4,Trainingsdaten!$H$4)+1)</f>
        <v/>
      </c>
      <c r="B105" s="11" t="str">
        <f>IF(INT((ROW()-4)/Trainingsdaten!$H$4)+1&gt;Trainingsdaten!$H$3,"",INT((ROW()-4)/Trainingsdaten!$H$4)+1)</f>
        <v/>
      </c>
      <c r="C105" s="9" t="str">
        <f>IF(INT((ROW()-4)/Trainingsdaten!$H$4)+1&gt;Trainingsdaten!$H$3,"",MOD(ROW()-4,Trainingsdaten!$H$4)+1)</f>
        <v/>
      </c>
      <c r="D105" s="9" t="str">
        <f>IF($B105&gt;Trainingsdaten!$H$3,"",INDEX(Trainingsdaten!B:B,$C105+1))</f>
        <v/>
      </c>
      <c r="E105" s="7" t="str">
        <f>IF($B105&gt;Trainingsdaten!$H$3,"",INDEX(Trainingsdaten!C:C,$C105+1))</f>
        <v/>
      </c>
      <c r="F105" s="7" t="str">
        <f>IF($B105&gt;Trainingsdaten!$H$3,"",INDEX(Trainingsdaten!D:D,$C105+1))</f>
        <v/>
      </c>
      <c r="G105" s="7" t="str">
        <f>IF($B105&gt;Trainingsdaten!$H$3,"",INDEX(Trainingsdaten!E:E,$C105+1))</f>
        <v/>
      </c>
      <c r="H105" s="11" t="str">
        <f>IF($B105&gt;Trainingsdaten!$H$3,"",Trainingsdaten!$H$2)</f>
        <v/>
      </c>
      <c r="I105" s="7" t="str">
        <f>IF(B105&gt;Trainingsdaten!$H$3,"",I104+H105*N104*E105)</f>
        <v/>
      </c>
      <c r="J105" s="7" t="str">
        <f>IF(B105&gt;Trainingsdaten!$H$3,"",J104+H105*N104*F105)</f>
        <v/>
      </c>
      <c r="K105" s="7" t="str">
        <f>IF(B105&gt;Trainingsdaten!$H$3,"",K104+H105*N104)</f>
        <v/>
      </c>
      <c r="L105" s="7" t="str">
        <f>IF(B105&gt;Trainingsdaten!$H$3,"",E105*I105+F105*J105+K105)</f>
        <v/>
      </c>
      <c r="M105" s="7" t="str">
        <f>IF(B105&gt;Trainingsdaten!$H$3,"",IF(L105&gt;0,1,0))</f>
        <v/>
      </c>
      <c r="N105" s="7" t="str">
        <f>IF(B105&gt;Trainingsdaten!$H$3,"",G105-M105)</f>
        <v/>
      </c>
    </row>
    <row r="106" spans="1:14" x14ac:dyDescent="0.25">
      <c r="A106" s="9" t="str">
        <f>IF($B106&gt;Trainingsdaten!$H$3,"",MOD(ROW()-4,Trainingsdaten!$H$4)+1)</f>
        <v/>
      </c>
      <c r="B106" s="11" t="str">
        <f>IF(INT((ROW()-4)/Trainingsdaten!$H$4)+1&gt;Trainingsdaten!$H$3,"",INT((ROW()-4)/Trainingsdaten!$H$4)+1)</f>
        <v/>
      </c>
      <c r="C106" s="9" t="str">
        <f>IF(INT((ROW()-4)/Trainingsdaten!$H$4)+1&gt;Trainingsdaten!$H$3,"",MOD(ROW()-4,Trainingsdaten!$H$4)+1)</f>
        <v/>
      </c>
      <c r="D106" s="9" t="str">
        <f>IF($B106&gt;Trainingsdaten!$H$3,"",INDEX(Trainingsdaten!B:B,$C106+1))</f>
        <v/>
      </c>
      <c r="E106" s="7" t="str">
        <f>IF($B106&gt;Trainingsdaten!$H$3,"",INDEX(Trainingsdaten!C:C,$C106+1))</f>
        <v/>
      </c>
      <c r="F106" s="7" t="str">
        <f>IF($B106&gt;Trainingsdaten!$H$3,"",INDEX(Trainingsdaten!D:D,$C106+1))</f>
        <v/>
      </c>
      <c r="G106" s="7" t="str">
        <f>IF($B106&gt;Trainingsdaten!$H$3,"",INDEX(Trainingsdaten!E:E,$C106+1))</f>
        <v/>
      </c>
      <c r="H106" s="11" t="str">
        <f>IF($B106&gt;Trainingsdaten!$H$3,"",Trainingsdaten!$H$2)</f>
        <v/>
      </c>
      <c r="I106" s="7" t="str">
        <f>IF(B106&gt;Trainingsdaten!$H$3,"",I105+H106*N105*E106)</f>
        <v/>
      </c>
      <c r="J106" s="7" t="str">
        <f>IF(B106&gt;Trainingsdaten!$H$3,"",J105+H106*N105*F106)</f>
        <v/>
      </c>
      <c r="K106" s="7" t="str">
        <f>IF(B106&gt;Trainingsdaten!$H$3,"",K105+H106*N105)</f>
        <v/>
      </c>
      <c r="L106" s="7" t="str">
        <f>IF(B106&gt;Trainingsdaten!$H$3,"",E106*I106+F106*J106+K106)</f>
        <v/>
      </c>
      <c r="M106" s="7" t="str">
        <f>IF(B106&gt;Trainingsdaten!$H$3,"",IF(L106&gt;0,1,0))</f>
        <v/>
      </c>
      <c r="N106" s="7" t="str">
        <f>IF(B106&gt;Trainingsdaten!$H$3,"",G106-M106)</f>
        <v/>
      </c>
    </row>
    <row r="107" spans="1:14" x14ac:dyDescent="0.25">
      <c r="A107" s="9" t="str">
        <f>IF($B107&gt;Trainingsdaten!$H$3,"",MOD(ROW()-4,Trainingsdaten!$H$4)+1)</f>
        <v/>
      </c>
      <c r="B107" s="11" t="str">
        <f>IF(INT((ROW()-4)/Trainingsdaten!$H$4)+1&gt;Trainingsdaten!$H$3,"",INT((ROW()-4)/Trainingsdaten!$H$4)+1)</f>
        <v/>
      </c>
      <c r="C107" s="9" t="str">
        <f>IF(INT((ROW()-4)/Trainingsdaten!$H$4)+1&gt;Trainingsdaten!$H$3,"",MOD(ROW()-4,Trainingsdaten!$H$4)+1)</f>
        <v/>
      </c>
      <c r="D107" s="9" t="str">
        <f>IF($B107&gt;Trainingsdaten!$H$3,"",INDEX(Trainingsdaten!B:B,$C107+1))</f>
        <v/>
      </c>
      <c r="E107" s="7" t="str">
        <f>IF($B107&gt;Trainingsdaten!$H$3,"",INDEX(Trainingsdaten!C:C,$C107+1))</f>
        <v/>
      </c>
      <c r="F107" s="7" t="str">
        <f>IF($B107&gt;Trainingsdaten!$H$3,"",INDEX(Trainingsdaten!D:D,$C107+1))</f>
        <v/>
      </c>
      <c r="G107" s="7" t="str">
        <f>IF($B107&gt;Trainingsdaten!$H$3,"",INDEX(Trainingsdaten!E:E,$C107+1))</f>
        <v/>
      </c>
      <c r="H107" s="11" t="str">
        <f>IF($B107&gt;Trainingsdaten!$H$3,"",Trainingsdaten!$H$2)</f>
        <v/>
      </c>
      <c r="I107" s="7" t="str">
        <f>IF(B107&gt;Trainingsdaten!$H$3,"",I106+H107*N106*E107)</f>
        <v/>
      </c>
      <c r="J107" s="7" t="str">
        <f>IF(B107&gt;Trainingsdaten!$H$3,"",J106+H107*N106*F107)</f>
        <v/>
      </c>
      <c r="K107" s="7" t="str">
        <f>IF(B107&gt;Trainingsdaten!$H$3,"",K106+H107*N106)</f>
        <v/>
      </c>
      <c r="L107" s="7" t="str">
        <f>IF(B107&gt;Trainingsdaten!$H$3,"",E107*I107+F107*J107+K107)</f>
        <v/>
      </c>
      <c r="M107" s="7" t="str">
        <f>IF(B107&gt;Trainingsdaten!$H$3,"",IF(L107&gt;0,1,0))</f>
        <v/>
      </c>
      <c r="N107" s="7" t="str">
        <f>IF(B107&gt;Trainingsdaten!$H$3,"",G107-M107)</f>
        <v/>
      </c>
    </row>
    <row r="108" spans="1:14" x14ac:dyDescent="0.25">
      <c r="A108" s="9" t="str">
        <f>IF($B108&gt;Trainingsdaten!$H$3,"",MOD(ROW()-4,Trainingsdaten!$H$4)+1)</f>
        <v/>
      </c>
      <c r="B108" s="11" t="str">
        <f>IF(INT((ROW()-4)/Trainingsdaten!$H$4)+1&gt;Trainingsdaten!$H$3,"",INT((ROW()-4)/Trainingsdaten!$H$4)+1)</f>
        <v/>
      </c>
      <c r="C108" s="9" t="str">
        <f>IF(INT((ROW()-4)/Trainingsdaten!$H$4)+1&gt;Trainingsdaten!$H$3,"",MOD(ROW()-4,Trainingsdaten!$H$4)+1)</f>
        <v/>
      </c>
      <c r="D108" s="9" t="str">
        <f>IF($B108&gt;Trainingsdaten!$H$3,"",INDEX(Trainingsdaten!B:B,$C108+1))</f>
        <v/>
      </c>
      <c r="E108" s="7" t="str">
        <f>IF($B108&gt;Trainingsdaten!$H$3,"",INDEX(Trainingsdaten!C:C,$C108+1))</f>
        <v/>
      </c>
      <c r="F108" s="7" t="str">
        <f>IF($B108&gt;Trainingsdaten!$H$3,"",INDEX(Trainingsdaten!D:D,$C108+1))</f>
        <v/>
      </c>
      <c r="G108" s="7" t="str">
        <f>IF($B108&gt;Trainingsdaten!$H$3,"",INDEX(Trainingsdaten!E:E,$C108+1))</f>
        <v/>
      </c>
      <c r="H108" s="11" t="str">
        <f>IF($B108&gt;Trainingsdaten!$H$3,"",Trainingsdaten!$H$2)</f>
        <v/>
      </c>
      <c r="I108" s="7" t="str">
        <f>IF(B108&gt;Trainingsdaten!$H$3,"",I107+H108*N107*E108)</f>
        <v/>
      </c>
      <c r="J108" s="7" t="str">
        <f>IF(B108&gt;Trainingsdaten!$H$3,"",J107+H108*N107*F108)</f>
        <v/>
      </c>
      <c r="K108" s="7" t="str">
        <f>IF(B108&gt;Trainingsdaten!$H$3,"",K107+H108*N107)</f>
        <v/>
      </c>
      <c r="L108" s="7" t="str">
        <f>IF(B108&gt;Trainingsdaten!$H$3,"",E108*I108+F108*J108+K108)</f>
        <v/>
      </c>
      <c r="M108" s="7" t="str">
        <f>IF(B108&gt;Trainingsdaten!$H$3,"",IF(L108&gt;0,1,0))</f>
        <v/>
      </c>
      <c r="N108" s="7" t="str">
        <f>IF(B108&gt;Trainingsdaten!$H$3,"",G108-M108)</f>
        <v/>
      </c>
    </row>
    <row r="109" spans="1:14" x14ac:dyDescent="0.25">
      <c r="A109" s="9" t="str">
        <f>IF($B109&gt;Trainingsdaten!$H$3,"",MOD(ROW()-4,Trainingsdaten!$H$4)+1)</f>
        <v/>
      </c>
      <c r="B109" s="11" t="str">
        <f>IF(INT((ROW()-4)/Trainingsdaten!$H$4)+1&gt;Trainingsdaten!$H$3,"",INT((ROW()-4)/Trainingsdaten!$H$4)+1)</f>
        <v/>
      </c>
      <c r="C109" s="9" t="str">
        <f>IF(INT((ROW()-4)/Trainingsdaten!$H$4)+1&gt;Trainingsdaten!$H$3,"",MOD(ROW()-4,Trainingsdaten!$H$4)+1)</f>
        <v/>
      </c>
      <c r="D109" s="9" t="str">
        <f>IF($B109&gt;Trainingsdaten!$H$3,"",INDEX(Trainingsdaten!B:B,$C109+1))</f>
        <v/>
      </c>
      <c r="E109" s="7" t="str">
        <f>IF($B109&gt;Trainingsdaten!$H$3,"",INDEX(Trainingsdaten!C:C,$C109+1))</f>
        <v/>
      </c>
      <c r="F109" s="7" t="str">
        <f>IF($B109&gt;Trainingsdaten!$H$3,"",INDEX(Trainingsdaten!D:D,$C109+1))</f>
        <v/>
      </c>
      <c r="G109" s="7" t="str">
        <f>IF($B109&gt;Trainingsdaten!$H$3,"",INDEX(Trainingsdaten!E:E,$C109+1))</f>
        <v/>
      </c>
      <c r="H109" s="11" t="str">
        <f>IF($B109&gt;Trainingsdaten!$H$3,"",Trainingsdaten!$H$2)</f>
        <v/>
      </c>
      <c r="I109" s="7" t="str">
        <f>IF(B109&gt;Trainingsdaten!$H$3,"",I108+H109*N108*E109)</f>
        <v/>
      </c>
      <c r="J109" s="7" t="str">
        <f>IF(B109&gt;Trainingsdaten!$H$3,"",J108+H109*N108*F109)</f>
        <v/>
      </c>
      <c r="K109" s="7" t="str">
        <f>IF(B109&gt;Trainingsdaten!$H$3,"",K108+H109*N108)</f>
        <v/>
      </c>
      <c r="L109" s="7" t="str">
        <f>IF(B109&gt;Trainingsdaten!$H$3,"",E109*I109+F109*J109+K109)</f>
        <v/>
      </c>
      <c r="M109" s="7" t="str">
        <f>IF(B109&gt;Trainingsdaten!$H$3,"",IF(L109&gt;0,1,0))</f>
        <v/>
      </c>
      <c r="N109" s="7" t="str">
        <f>IF(B109&gt;Trainingsdaten!$H$3,"",G109-M109)</f>
        <v/>
      </c>
    </row>
    <row r="110" spans="1:14" x14ac:dyDescent="0.25">
      <c r="A110" s="9" t="str">
        <f>IF($B110&gt;Trainingsdaten!$H$3,"",MOD(ROW()-4,Trainingsdaten!$H$4)+1)</f>
        <v/>
      </c>
      <c r="B110" s="11" t="str">
        <f>IF(INT((ROW()-4)/Trainingsdaten!$H$4)+1&gt;Trainingsdaten!$H$3,"",INT((ROW()-4)/Trainingsdaten!$H$4)+1)</f>
        <v/>
      </c>
      <c r="C110" s="9" t="str">
        <f>IF(INT((ROW()-4)/Trainingsdaten!$H$4)+1&gt;Trainingsdaten!$H$3,"",MOD(ROW()-4,Trainingsdaten!$H$4)+1)</f>
        <v/>
      </c>
      <c r="D110" s="9" t="str">
        <f>IF($B110&gt;Trainingsdaten!$H$3,"",INDEX(Trainingsdaten!B:B,$C110+1))</f>
        <v/>
      </c>
      <c r="E110" s="7" t="str">
        <f>IF($B110&gt;Trainingsdaten!$H$3,"",INDEX(Trainingsdaten!C:C,$C110+1))</f>
        <v/>
      </c>
      <c r="F110" s="7" t="str">
        <f>IF($B110&gt;Trainingsdaten!$H$3,"",INDEX(Trainingsdaten!D:D,$C110+1))</f>
        <v/>
      </c>
      <c r="G110" s="7" t="str">
        <f>IF($B110&gt;Trainingsdaten!$H$3,"",INDEX(Trainingsdaten!E:E,$C110+1))</f>
        <v/>
      </c>
      <c r="H110" s="11" t="str">
        <f>IF($B110&gt;Trainingsdaten!$H$3,"",Trainingsdaten!$H$2)</f>
        <v/>
      </c>
      <c r="I110" s="7" t="str">
        <f>IF(B110&gt;Trainingsdaten!$H$3,"",I109+H110*N109*E110)</f>
        <v/>
      </c>
      <c r="J110" s="7" t="str">
        <f>IF(B110&gt;Trainingsdaten!$H$3,"",J109+H110*N109*F110)</f>
        <v/>
      </c>
      <c r="K110" s="7" t="str">
        <f>IF(B110&gt;Trainingsdaten!$H$3,"",K109+H110*N109)</f>
        <v/>
      </c>
      <c r="L110" s="7" t="str">
        <f>IF(B110&gt;Trainingsdaten!$H$3,"",E110*I110+F110*J110+K110)</f>
        <v/>
      </c>
      <c r="M110" s="7" t="str">
        <f>IF(B110&gt;Trainingsdaten!$H$3,"",IF(L110&gt;0,1,0))</f>
        <v/>
      </c>
      <c r="N110" s="7" t="str">
        <f>IF(B110&gt;Trainingsdaten!$H$3,"",G110-M110)</f>
        <v/>
      </c>
    </row>
    <row r="111" spans="1:14" x14ac:dyDescent="0.25">
      <c r="A111" s="9" t="str">
        <f>IF($B111&gt;Trainingsdaten!$H$3,"",MOD(ROW()-4,Trainingsdaten!$H$4)+1)</f>
        <v/>
      </c>
      <c r="B111" s="11" t="str">
        <f>IF(INT((ROW()-4)/Trainingsdaten!$H$4)+1&gt;Trainingsdaten!$H$3,"",INT((ROW()-4)/Trainingsdaten!$H$4)+1)</f>
        <v/>
      </c>
      <c r="C111" s="9" t="str">
        <f>IF(INT((ROW()-4)/Trainingsdaten!$H$4)+1&gt;Trainingsdaten!$H$3,"",MOD(ROW()-4,Trainingsdaten!$H$4)+1)</f>
        <v/>
      </c>
      <c r="D111" s="9" t="str">
        <f>IF($B111&gt;Trainingsdaten!$H$3,"",INDEX(Trainingsdaten!B:B,$C111+1))</f>
        <v/>
      </c>
      <c r="E111" s="7" t="str">
        <f>IF($B111&gt;Trainingsdaten!$H$3,"",INDEX(Trainingsdaten!C:C,$C111+1))</f>
        <v/>
      </c>
      <c r="F111" s="7" t="str">
        <f>IF($B111&gt;Trainingsdaten!$H$3,"",INDEX(Trainingsdaten!D:D,$C111+1))</f>
        <v/>
      </c>
      <c r="G111" s="7" t="str">
        <f>IF($B111&gt;Trainingsdaten!$H$3,"",INDEX(Trainingsdaten!E:E,$C111+1))</f>
        <v/>
      </c>
      <c r="H111" s="11" t="str">
        <f>IF($B111&gt;Trainingsdaten!$H$3,"",Trainingsdaten!$H$2)</f>
        <v/>
      </c>
      <c r="I111" s="7" t="str">
        <f>IF(B111&gt;Trainingsdaten!$H$3,"",I110+H111*N110*E111)</f>
        <v/>
      </c>
      <c r="J111" s="7" t="str">
        <f>IF(B111&gt;Trainingsdaten!$H$3,"",J110+H111*N110*F111)</f>
        <v/>
      </c>
      <c r="K111" s="7" t="str">
        <f>IF(B111&gt;Trainingsdaten!$H$3,"",K110+H111*N110)</f>
        <v/>
      </c>
      <c r="L111" s="7" t="str">
        <f>IF(B111&gt;Trainingsdaten!$H$3,"",E111*I111+F111*J111+K111)</f>
        <v/>
      </c>
      <c r="M111" s="7" t="str">
        <f>IF(B111&gt;Trainingsdaten!$H$3,"",IF(L111&gt;0,1,0))</f>
        <v/>
      </c>
      <c r="N111" s="7" t="str">
        <f>IF(B111&gt;Trainingsdaten!$H$3,"",G111-M111)</f>
        <v/>
      </c>
    </row>
    <row r="112" spans="1:14" x14ac:dyDescent="0.25">
      <c r="A112" s="9" t="str">
        <f>IF($B112&gt;Trainingsdaten!$H$3,"",MOD(ROW()-4,Trainingsdaten!$H$4)+1)</f>
        <v/>
      </c>
      <c r="B112" s="11" t="str">
        <f>IF(INT((ROW()-4)/Trainingsdaten!$H$4)+1&gt;Trainingsdaten!$H$3,"",INT((ROW()-4)/Trainingsdaten!$H$4)+1)</f>
        <v/>
      </c>
      <c r="C112" s="9" t="str">
        <f>IF(INT((ROW()-4)/Trainingsdaten!$H$4)+1&gt;Trainingsdaten!$H$3,"",MOD(ROW()-4,Trainingsdaten!$H$4)+1)</f>
        <v/>
      </c>
      <c r="D112" s="9" t="str">
        <f>IF($B112&gt;Trainingsdaten!$H$3,"",INDEX(Trainingsdaten!B:B,$C112+1))</f>
        <v/>
      </c>
      <c r="E112" s="7" t="str">
        <f>IF($B112&gt;Trainingsdaten!$H$3,"",INDEX(Trainingsdaten!C:C,$C112+1))</f>
        <v/>
      </c>
      <c r="F112" s="7" t="str">
        <f>IF($B112&gt;Trainingsdaten!$H$3,"",INDEX(Trainingsdaten!D:D,$C112+1))</f>
        <v/>
      </c>
      <c r="G112" s="7" t="str">
        <f>IF($B112&gt;Trainingsdaten!$H$3,"",INDEX(Trainingsdaten!E:E,$C112+1))</f>
        <v/>
      </c>
      <c r="H112" s="11" t="str">
        <f>IF($B112&gt;Trainingsdaten!$H$3,"",Trainingsdaten!$H$2)</f>
        <v/>
      </c>
      <c r="I112" s="7" t="str">
        <f>IF(B112&gt;Trainingsdaten!$H$3,"",I111+H112*N111*E112)</f>
        <v/>
      </c>
      <c r="J112" s="7" t="str">
        <f>IF(B112&gt;Trainingsdaten!$H$3,"",J111+H112*N111*F112)</f>
        <v/>
      </c>
      <c r="K112" s="7" t="str">
        <f>IF(B112&gt;Trainingsdaten!$H$3,"",K111+H112*N111)</f>
        <v/>
      </c>
      <c r="L112" s="7" t="str">
        <f>IF(B112&gt;Trainingsdaten!$H$3,"",E112*I112+F112*J112+K112)</f>
        <v/>
      </c>
      <c r="M112" s="7" t="str">
        <f>IF(B112&gt;Trainingsdaten!$H$3,"",IF(L112&gt;0,1,0))</f>
        <v/>
      </c>
      <c r="N112" s="7" t="str">
        <f>IF(B112&gt;Trainingsdaten!$H$3,"",G112-M112)</f>
        <v/>
      </c>
    </row>
    <row r="113" spans="1:14" x14ac:dyDescent="0.25">
      <c r="A113" s="9" t="str">
        <f>IF($B113&gt;Trainingsdaten!$H$3,"",MOD(ROW()-4,Trainingsdaten!$H$4)+1)</f>
        <v/>
      </c>
      <c r="B113" s="11" t="str">
        <f>IF(INT((ROW()-4)/Trainingsdaten!$H$4)+1&gt;Trainingsdaten!$H$3,"",INT((ROW()-4)/Trainingsdaten!$H$4)+1)</f>
        <v/>
      </c>
      <c r="C113" s="9" t="str">
        <f>IF(INT((ROW()-4)/Trainingsdaten!$H$4)+1&gt;Trainingsdaten!$H$3,"",MOD(ROW()-4,Trainingsdaten!$H$4)+1)</f>
        <v/>
      </c>
      <c r="D113" s="9" t="str">
        <f>IF($B113&gt;Trainingsdaten!$H$3,"",INDEX(Trainingsdaten!B:B,$C113+1))</f>
        <v/>
      </c>
      <c r="E113" s="7" t="str">
        <f>IF($B113&gt;Trainingsdaten!$H$3,"",INDEX(Trainingsdaten!C:C,$C113+1))</f>
        <v/>
      </c>
      <c r="F113" s="7" t="str">
        <f>IF($B113&gt;Trainingsdaten!$H$3,"",INDEX(Trainingsdaten!D:D,$C113+1))</f>
        <v/>
      </c>
      <c r="G113" s="7" t="str">
        <f>IF($B113&gt;Trainingsdaten!$H$3,"",INDEX(Trainingsdaten!E:E,$C113+1))</f>
        <v/>
      </c>
      <c r="H113" s="11" t="str">
        <f>IF($B113&gt;Trainingsdaten!$H$3,"",Trainingsdaten!$H$2)</f>
        <v/>
      </c>
      <c r="I113" s="7" t="str">
        <f>IF(B113&gt;Trainingsdaten!$H$3,"",I112+H113*N112*E113)</f>
        <v/>
      </c>
      <c r="J113" s="7" t="str">
        <f>IF(B113&gt;Trainingsdaten!$H$3,"",J112+H113*N112*F113)</f>
        <v/>
      </c>
      <c r="K113" s="7" t="str">
        <f>IF(B113&gt;Trainingsdaten!$H$3,"",K112+H113*N112)</f>
        <v/>
      </c>
      <c r="L113" s="7" t="str">
        <f>IF(B113&gt;Trainingsdaten!$H$3,"",E113*I113+F113*J113+K113)</f>
        <v/>
      </c>
      <c r="M113" s="7" t="str">
        <f>IF(B113&gt;Trainingsdaten!$H$3,"",IF(L113&gt;0,1,0))</f>
        <v/>
      </c>
      <c r="N113" s="7" t="str">
        <f>IF(B113&gt;Trainingsdaten!$H$3,"",G113-M113)</f>
        <v/>
      </c>
    </row>
    <row r="114" spans="1:14" x14ac:dyDescent="0.25">
      <c r="A114" s="9" t="str">
        <f>IF($B114&gt;Trainingsdaten!$H$3,"",MOD(ROW()-4,Trainingsdaten!$H$4)+1)</f>
        <v/>
      </c>
      <c r="B114" s="11" t="str">
        <f>IF(INT((ROW()-4)/Trainingsdaten!$H$4)+1&gt;Trainingsdaten!$H$3,"",INT((ROW()-4)/Trainingsdaten!$H$4)+1)</f>
        <v/>
      </c>
      <c r="C114" s="9" t="str">
        <f>IF(INT((ROW()-4)/Trainingsdaten!$H$4)+1&gt;Trainingsdaten!$H$3,"",MOD(ROW()-4,Trainingsdaten!$H$4)+1)</f>
        <v/>
      </c>
      <c r="D114" s="9" t="str">
        <f>IF($B114&gt;Trainingsdaten!$H$3,"",INDEX(Trainingsdaten!B:B,$C114+1))</f>
        <v/>
      </c>
      <c r="E114" s="7" t="str">
        <f>IF($B114&gt;Trainingsdaten!$H$3,"",INDEX(Trainingsdaten!C:C,$C114+1))</f>
        <v/>
      </c>
      <c r="F114" s="7" t="str">
        <f>IF($B114&gt;Trainingsdaten!$H$3,"",INDEX(Trainingsdaten!D:D,$C114+1))</f>
        <v/>
      </c>
      <c r="G114" s="7" t="str">
        <f>IF($B114&gt;Trainingsdaten!$H$3,"",INDEX(Trainingsdaten!E:E,$C114+1))</f>
        <v/>
      </c>
      <c r="H114" s="11" t="str">
        <f>IF($B114&gt;Trainingsdaten!$H$3,"",Trainingsdaten!$H$2)</f>
        <v/>
      </c>
      <c r="I114" s="7" t="str">
        <f>IF(B114&gt;Trainingsdaten!$H$3,"",I113+H114*N113*E114)</f>
        <v/>
      </c>
      <c r="J114" s="7" t="str">
        <f>IF(B114&gt;Trainingsdaten!$H$3,"",J113+H114*N113*F114)</f>
        <v/>
      </c>
      <c r="K114" s="7" t="str">
        <f>IF(B114&gt;Trainingsdaten!$H$3,"",K113+H114*N113)</f>
        <v/>
      </c>
      <c r="L114" s="7" t="str">
        <f>IF(B114&gt;Trainingsdaten!$H$3,"",E114*I114+F114*J114+K114)</f>
        <v/>
      </c>
      <c r="M114" s="7" t="str">
        <f>IF(B114&gt;Trainingsdaten!$H$3,"",IF(L114&gt;0,1,0))</f>
        <v/>
      </c>
      <c r="N114" s="7" t="str">
        <f>IF(B114&gt;Trainingsdaten!$H$3,"",G114-M114)</f>
        <v/>
      </c>
    </row>
    <row r="115" spans="1:14" x14ac:dyDescent="0.25">
      <c r="A115" s="9" t="str">
        <f>IF($B115&gt;Trainingsdaten!$H$3,"",MOD(ROW()-4,Trainingsdaten!$H$4)+1)</f>
        <v/>
      </c>
      <c r="B115" s="11" t="str">
        <f>IF(INT((ROW()-4)/Trainingsdaten!$H$4)+1&gt;Trainingsdaten!$H$3,"",INT((ROW()-4)/Trainingsdaten!$H$4)+1)</f>
        <v/>
      </c>
      <c r="C115" s="9" t="str">
        <f>IF(INT((ROW()-4)/Trainingsdaten!$H$4)+1&gt;Trainingsdaten!$H$3,"",MOD(ROW()-4,Trainingsdaten!$H$4)+1)</f>
        <v/>
      </c>
      <c r="D115" s="9" t="str">
        <f>IF($B115&gt;Trainingsdaten!$H$3,"",INDEX(Trainingsdaten!B:B,$C115+1))</f>
        <v/>
      </c>
      <c r="E115" s="7" t="str">
        <f>IF($B115&gt;Trainingsdaten!$H$3,"",INDEX(Trainingsdaten!C:C,$C115+1))</f>
        <v/>
      </c>
      <c r="F115" s="7" t="str">
        <f>IF($B115&gt;Trainingsdaten!$H$3,"",INDEX(Trainingsdaten!D:D,$C115+1))</f>
        <v/>
      </c>
      <c r="G115" s="7" t="str">
        <f>IF($B115&gt;Trainingsdaten!$H$3,"",INDEX(Trainingsdaten!E:E,$C115+1))</f>
        <v/>
      </c>
      <c r="H115" s="11" t="str">
        <f>IF($B115&gt;Trainingsdaten!$H$3,"",Trainingsdaten!$H$2)</f>
        <v/>
      </c>
      <c r="I115" s="7" t="str">
        <f>IF(B115&gt;Trainingsdaten!$H$3,"",I114+H115*N114*E115)</f>
        <v/>
      </c>
      <c r="J115" s="7" t="str">
        <f>IF(B115&gt;Trainingsdaten!$H$3,"",J114+H115*N114*F115)</f>
        <v/>
      </c>
      <c r="K115" s="7" t="str">
        <f>IF(B115&gt;Trainingsdaten!$H$3,"",K114+H115*N114)</f>
        <v/>
      </c>
      <c r="L115" s="7" t="str">
        <f>IF(B115&gt;Trainingsdaten!$H$3,"",E115*I115+F115*J115+K115)</f>
        <v/>
      </c>
      <c r="M115" s="7" t="str">
        <f>IF(B115&gt;Trainingsdaten!$H$3,"",IF(L115&gt;0,1,0))</f>
        <v/>
      </c>
      <c r="N115" s="7" t="str">
        <f>IF(B115&gt;Trainingsdaten!$H$3,"",G115-M115)</f>
        <v/>
      </c>
    </row>
    <row r="116" spans="1:14" x14ac:dyDescent="0.25">
      <c r="A116" s="9" t="str">
        <f>IF($B116&gt;Trainingsdaten!$H$3,"",MOD(ROW()-4,Trainingsdaten!$H$4)+1)</f>
        <v/>
      </c>
      <c r="B116" s="11" t="str">
        <f>IF(INT((ROW()-4)/Trainingsdaten!$H$4)+1&gt;Trainingsdaten!$H$3,"",INT((ROW()-4)/Trainingsdaten!$H$4)+1)</f>
        <v/>
      </c>
      <c r="C116" s="9" t="str">
        <f>IF(INT((ROW()-4)/Trainingsdaten!$H$4)+1&gt;Trainingsdaten!$H$3,"",MOD(ROW()-4,Trainingsdaten!$H$4)+1)</f>
        <v/>
      </c>
      <c r="D116" s="9" t="str">
        <f>IF($B116&gt;Trainingsdaten!$H$3,"",INDEX(Trainingsdaten!B:B,$C116+1))</f>
        <v/>
      </c>
      <c r="E116" s="7" t="str">
        <f>IF($B116&gt;Trainingsdaten!$H$3,"",INDEX(Trainingsdaten!C:C,$C116+1))</f>
        <v/>
      </c>
      <c r="F116" s="7" t="str">
        <f>IF($B116&gt;Trainingsdaten!$H$3,"",INDEX(Trainingsdaten!D:D,$C116+1))</f>
        <v/>
      </c>
      <c r="G116" s="7" t="str">
        <f>IF($B116&gt;Trainingsdaten!$H$3,"",INDEX(Trainingsdaten!E:E,$C116+1))</f>
        <v/>
      </c>
      <c r="H116" s="11" t="str">
        <f>IF($B116&gt;Trainingsdaten!$H$3,"",Trainingsdaten!$H$2)</f>
        <v/>
      </c>
      <c r="I116" s="7" t="str">
        <f>IF(B116&gt;Trainingsdaten!$H$3,"",I115+H116*N115*E116)</f>
        <v/>
      </c>
      <c r="J116" s="7" t="str">
        <f>IF(B116&gt;Trainingsdaten!$H$3,"",J115+H116*N115*F116)</f>
        <v/>
      </c>
      <c r="K116" s="7" t="str">
        <f>IF(B116&gt;Trainingsdaten!$H$3,"",K115+H116*N115)</f>
        <v/>
      </c>
      <c r="L116" s="7" t="str">
        <f>IF(B116&gt;Trainingsdaten!$H$3,"",E116*I116+F116*J116+K116)</f>
        <v/>
      </c>
      <c r="M116" s="7" t="str">
        <f>IF(B116&gt;Trainingsdaten!$H$3,"",IF(L116&gt;0,1,0))</f>
        <v/>
      </c>
      <c r="N116" s="7" t="str">
        <f>IF(B116&gt;Trainingsdaten!$H$3,"",G116-M116)</f>
        <v/>
      </c>
    </row>
    <row r="117" spans="1:14" x14ac:dyDescent="0.25">
      <c r="A117" s="9" t="str">
        <f>IF($B117&gt;Trainingsdaten!$H$3,"",MOD(ROW()-4,Trainingsdaten!$H$4)+1)</f>
        <v/>
      </c>
      <c r="B117" s="11" t="str">
        <f>IF(INT((ROW()-4)/Trainingsdaten!$H$4)+1&gt;Trainingsdaten!$H$3,"",INT((ROW()-4)/Trainingsdaten!$H$4)+1)</f>
        <v/>
      </c>
      <c r="C117" s="9" t="str">
        <f>IF(INT((ROW()-4)/Trainingsdaten!$H$4)+1&gt;Trainingsdaten!$H$3,"",MOD(ROW()-4,Trainingsdaten!$H$4)+1)</f>
        <v/>
      </c>
      <c r="D117" s="9" t="str">
        <f>IF($B117&gt;Trainingsdaten!$H$3,"",INDEX(Trainingsdaten!B:B,$C117+1))</f>
        <v/>
      </c>
      <c r="E117" s="7" t="str">
        <f>IF($B117&gt;Trainingsdaten!$H$3,"",INDEX(Trainingsdaten!C:C,$C117+1))</f>
        <v/>
      </c>
      <c r="F117" s="7" t="str">
        <f>IF($B117&gt;Trainingsdaten!$H$3,"",INDEX(Trainingsdaten!D:D,$C117+1))</f>
        <v/>
      </c>
      <c r="G117" s="7" t="str">
        <f>IF($B117&gt;Trainingsdaten!$H$3,"",INDEX(Trainingsdaten!E:E,$C117+1))</f>
        <v/>
      </c>
      <c r="H117" s="11" t="str">
        <f>IF($B117&gt;Trainingsdaten!$H$3,"",Trainingsdaten!$H$2)</f>
        <v/>
      </c>
      <c r="I117" s="7" t="str">
        <f>IF(B117&gt;Trainingsdaten!$H$3,"",I116+H117*N116*E117)</f>
        <v/>
      </c>
      <c r="J117" s="7" t="str">
        <f>IF(B117&gt;Trainingsdaten!$H$3,"",J116+H117*N116*F117)</f>
        <v/>
      </c>
      <c r="K117" s="7" t="str">
        <f>IF(B117&gt;Trainingsdaten!$H$3,"",K116+H117*N116)</f>
        <v/>
      </c>
      <c r="L117" s="7" t="str">
        <f>IF(B117&gt;Trainingsdaten!$H$3,"",E117*I117+F117*J117+K117)</f>
        <v/>
      </c>
      <c r="M117" s="7" t="str">
        <f>IF(B117&gt;Trainingsdaten!$H$3,"",IF(L117&gt;0,1,0))</f>
        <v/>
      </c>
      <c r="N117" s="7" t="str">
        <f>IF(B117&gt;Trainingsdaten!$H$3,"",G117-M117)</f>
        <v/>
      </c>
    </row>
    <row r="118" spans="1:14" x14ac:dyDescent="0.25">
      <c r="A118" s="9" t="str">
        <f>IF($B118&gt;Trainingsdaten!$H$3,"",MOD(ROW()-4,Trainingsdaten!$H$4)+1)</f>
        <v/>
      </c>
      <c r="B118" s="11" t="str">
        <f>IF(INT((ROW()-4)/Trainingsdaten!$H$4)+1&gt;Trainingsdaten!$H$3,"",INT((ROW()-4)/Trainingsdaten!$H$4)+1)</f>
        <v/>
      </c>
      <c r="C118" s="9" t="str">
        <f>IF(INT((ROW()-4)/Trainingsdaten!$H$4)+1&gt;Trainingsdaten!$H$3,"",MOD(ROW()-4,Trainingsdaten!$H$4)+1)</f>
        <v/>
      </c>
      <c r="D118" s="9" t="str">
        <f>IF($B118&gt;Trainingsdaten!$H$3,"",INDEX(Trainingsdaten!B:B,$C118+1))</f>
        <v/>
      </c>
      <c r="E118" s="7" t="str">
        <f>IF($B118&gt;Trainingsdaten!$H$3,"",INDEX(Trainingsdaten!C:C,$C118+1))</f>
        <v/>
      </c>
      <c r="F118" s="7" t="str">
        <f>IF($B118&gt;Trainingsdaten!$H$3,"",INDEX(Trainingsdaten!D:D,$C118+1))</f>
        <v/>
      </c>
      <c r="G118" s="7" t="str">
        <f>IF($B118&gt;Trainingsdaten!$H$3,"",INDEX(Trainingsdaten!E:E,$C118+1))</f>
        <v/>
      </c>
      <c r="H118" s="11" t="str">
        <f>IF($B118&gt;Trainingsdaten!$H$3,"",Trainingsdaten!$H$2)</f>
        <v/>
      </c>
      <c r="I118" s="7" t="str">
        <f>IF(B118&gt;Trainingsdaten!$H$3,"",I117+H118*N117*E118)</f>
        <v/>
      </c>
      <c r="J118" s="7" t="str">
        <f>IF(B118&gt;Trainingsdaten!$H$3,"",J117+H118*N117*F118)</f>
        <v/>
      </c>
      <c r="K118" s="7" t="str">
        <f>IF(B118&gt;Trainingsdaten!$H$3,"",K117+H118*N117)</f>
        <v/>
      </c>
      <c r="L118" s="7" t="str">
        <f>IF(B118&gt;Trainingsdaten!$H$3,"",E118*I118+F118*J118+K118)</f>
        <v/>
      </c>
      <c r="M118" s="7" t="str">
        <f>IF(B118&gt;Trainingsdaten!$H$3,"",IF(L118&gt;0,1,0))</f>
        <v/>
      </c>
      <c r="N118" s="7" t="str">
        <f>IF(B118&gt;Trainingsdaten!$H$3,"",G118-M118)</f>
        <v/>
      </c>
    </row>
    <row r="119" spans="1:14" x14ac:dyDescent="0.25">
      <c r="A119" s="9" t="str">
        <f>IF($B119&gt;Trainingsdaten!$H$3,"",MOD(ROW()-4,Trainingsdaten!$H$4)+1)</f>
        <v/>
      </c>
      <c r="B119" s="11" t="str">
        <f>IF(INT((ROW()-4)/Trainingsdaten!$H$4)+1&gt;Trainingsdaten!$H$3,"",INT((ROW()-4)/Trainingsdaten!$H$4)+1)</f>
        <v/>
      </c>
      <c r="C119" s="9" t="str">
        <f>IF(INT((ROW()-4)/Trainingsdaten!$H$4)+1&gt;Trainingsdaten!$H$3,"",MOD(ROW()-4,Trainingsdaten!$H$4)+1)</f>
        <v/>
      </c>
      <c r="D119" s="9" t="str">
        <f>IF($B119&gt;Trainingsdaten!$H$3,"",INDEX(Trainingsdaten!B:B,$C119+1))</f>
        <v/>
      </c>
      <c r="E119" s="7" t="str">
        <f>IF($B119&gt;Trainingsdaten!$H$3,"",INDEX(Trainingsdaten!C:C,$C119+1))</f>
        <v/>
      </c>
      <c r="F119" s="7" t="str">
        <f>IF($B119&gt;Trainingsdaten!$H$3,"",INDEX(Trainingsdaten!D:D,$C119+1))</f>
        <v/>
      </c>
      <c r="G119" s="7" t="str">
        <f>IF($B119&gt;Trainingsdaten!$H$3,"",INDEX(Trainingsdaten!E:E,$C119+1))</f>
        <v/>
      </c>
      <c r="H119" s="11" t="str">
        <f>IF($B119&gt;Trainingsdaten!$H$3,"",Trainingsdaten!$H$2)</f>
        <v/>
      </c>
      <c r="I119" s="7" t="str">
        <f>IF(B119&gt;Trainingsdaten!$H$3,"",I118+H119*N118*E119)</f>
        <v/>
      </c>
      <c r="J119" s="7" t="str">
        <f>IF(B119&gt;Trainingsdaten!$H$3,"",J118+H119*N118*F119)</f>
        <v/>
      </c>
      <c r="K119" s="7" t="str">
        <f>IF(B119&gt;Trainingsdaten!$H$3,"",K118+H119*N118)</f>
        <v/>
      </c>
      <c r="L119" s="7" t="str">
        <f>IF(B119&gt;Trainingsdaten!$H$3,"",E119*I119+F119*J119+K119)</f>
        <v/>
      </c>
      <c r="M119" s="7" t="str">
        <f>IF(B119&gt;Trainingsdaten!$H$3,"",IF(L119&gt;0,1,0))</f>
        <v/>
      </c>
      <c r="N119" s="7" t="str">
        <f>IF(B119&gt;Trainingsdaten!$H$3,"",G119-M119)</f>
        <v/>
      </c>
    </row>
    <row r="120" spans="1:14" x14ac:dyDescent="0.25">
      <c r="A120" s="9" t="str">
        <f>IF($B120&gt;Trainingsdaten!$H$3,"",MOD(ROW()-4,Trainingsdaten!$H$4)+1)</f>
        <v/>
      </c>
      <c r="B120" s="11" t="str">
        <f>IF(INT((ROW()-4)/Trainingsdaten!$H$4)+1&gt;Trainingsdaten!$H$3,"",INT((ROW()-4)/Trainingsdaten!$H$4)+1)</f>
        <v/>
      </c>
      <c r="C120" s="9" t="str">
        <f>IF(INT((ROW()-4)/Trainingsdaten!$H$4)+1&gt;Trainingsdaten!$H$3,"",MOD(ROW()-4,Trainingsdaten!$H$4)+1)</f>
        <v/>
      </c>
      <c r="D120" s="9" t="str">
        <f>IF($B120&gt;Trainingsdaten!$H$3,"",INDEX(Trainingsdaten!B:B,$C120+1))</f>
        <v/>
      </c>
      <c r="E120" s="7" t="str">
        <f>IF($B120&gt;Trainingsdaten!$H$3,"",INDEX(Trainingsdaten!C:C,$C120+1))</f>
        <v/>
      </c>
      <c r="F120" s="7" t="str">
        <f>IF($B120&gt;Trainingsdaten!$H$3,"",INDEX(Trainingsdaten!D:D,$C120+1))</f>
        <v/>
      </c>
      <c r="G120" s="7" t="str">
        <f>IF($B120&gt;Trainingsdaten!$H$3,"",INDEX(Trainingsdaten!E:E,$C120+1))</f>
        <v/>
      </c>
      <c r="H120" s="11" t="str">
        <f>IF($B120&gt;Trainingsdaten!$H$3,"",Trainingsdaten!$H$2)</f>
        <v/>
      </c>
      <c r="I120" s="7" t="str">
        <f>IF(B120&gt;Trainingsdaten!$H$3,"",I119+H120*N119*E120)</f>
        <v/>
      </c>
      <c r="J120" s="7" t="str">
        <f>IF(B120&gt;Trainingsdaten!$H$3,"",J119+H120*N119*F120)</f>
        <v/>
      </c>
      <c r="K120" s="7" t="str">
        <f>IF(B120&gt;Trainingsdaten!$H$3,"",K119+H120*N119)</f>
        <v/>
      </c>
      <c r="L120" s="7" t="str">
        <f>IF(B120&gt;Trainingsdaten!$H$3,"",E120*I120+F120*J120+K120)</f>
        <v/>
      </c>
      <c r="M120" s="7" t="str">
        <f>IF(B120&gt;Trainingsdaten!$H$3,"",IF(L120&gt;0,1,0))</f>
        <v/>
      </c>
      <c r="N120" s="7" t="str">
        <f>IF(B120&gt;Trainingsdaten!$H$3,"",G120-M120)</f>
        <v/>
      </c>
    </row>
    <row r="121" spans="1:14" x14ac:dyDescent="0.25">
      <c r="A121" s="9" t="str">
        <f>IF($B121&gt;Trainingsdaten!$H$3,"",MOD(ROW()-4,Trainingsdaten!$H$4)+1)</f>
        <v/>
      </c>
      <c r="B121" s="11" t="str">
        <f>IF(INT((ROW()-4)/Trainingsdaten!$H$4)+1&gt;Trainingsdaten!$H$3,"",INT((ROW()-4)/Trainingsdaten!$H$4)+1)</f>
        <v/>
      </c>
      <c r="C121" s="9" t="str">
        <f>IF(INT((ROW()-4)/Trainingsdaten!$H$4)+1&gt;Trainingsdaten!$H$3,"",MOD(ROW()-4,Trainingsdaten!$H$4)+1)</f>
        <v/>
      </c>
      <c r="D121" s="9" t="str">
        <f>IF($B121&gt;Trainingsdaten!$H$3,"",INDEX(Trainingsdaten!B:B,$C121+1))</f>
        <v/>
      </c>
      <c r="E121" s="7" t="str">
        <f>IF($B121&gt;Trainingsdaten!$H$3,"",INDEX(Trainingsdaten!C:C,$C121+1))</f>
        <v/>
      </c>
      <c r="F121" s="7" t="str">
        <f>IF($B121&gt;Trainingsdaten!$H$3,"",INDEX(Trainingsdaten!D:D,$C121+1))</f>
        <v/>
      </c>
      <c r="G121" s="7" t="str">
        <f>IF($B121&gt;Trainingsdaten!$H$3,"",INDEX(Trainingsdaten!E:E,$C121+1))</f>
        <v/>
      </c>
      <c r="H121" s="11" t="str">
        <f>IF($B121&gt;Trainingsdaten!$H$3,"",Trainingsdaten!$H$2)</f>
        <v/>
      </c>
      <c r="I121" s="7" t="str">
        <f>IF(B121&gt;Trainingsdaten!$H$3,"",I120+H121*N120*E121)</f>
        <v/>
      </c>
      <c r="J121" s="7" t="str">
        <f>IF(B121&gt;Trainingsdaten!$H$3,"",J120+H121*N120*F121)</f>
        <v/>
      </c>
      <c r="K121" s="7" t="str">
        <f>IF(B121&gt;Trainingsdaten!$H$3,"",K120+H121*N120)</f>
        <v/>
      </c>
      <c r="L121" s="7" t="str">
        <f>IF(B121&gt;Trainingsdaten!$H$3,"",E121*I121+F121*J121+K121)</f>
        <v/>
      </c>
      <c r="M121" s="7" t="str">
        <f>IF(B121&gt;Trainingsdaten!$H$3,"",IF(L121&gt;0,1,0))</f>
        <v/>
      </c>
      <c r="N121" s="7" t="str">
        <f>IF(B121&gt;Trainingsdaten!$H$3,"",G121-M121)</f>
        <v/>
      </c>
    </row>
    <row r="122" spans="1:14" x14ac:dyDescent="0.25">
      <c r="A122" s="9" t="str">
        <f>IF($B122&gt;Trainingsdaten!$H$3,"",MOD(ROW()-4,Trainingsdaten!$H$4)+1)</f>
        <v/>
      </c>
      <c r="B122" s="11" t="str">
        <f>IF(INT((ROW()-4)/Trainingsdaten!$H$4)+1&gt;Trainingsdaten!$H$3,"",INT((ROW()-4)/Trainingsdaten!$H$4)+1)</f>
        <v/>
      </c>
      <c r="C122" s="9" t="str">
        <f>IF(INT((ROW()-4)/Trainingsdaten!$H$4)+1&gt;Trainingsdaten!$H$3,"",MOD(ROW()-4,Trainingsdaten!$H$4)+1)</f>
        <v/>
      </c>
      <c r="D122" s="9" t="str">
        <f>IF($B122&gt;Trainingsdaten!$H$3,"",INDEX(Trainingsdaten!B:B,$C122+1))</f>
        <v/>
      </c>
      <c r="E122" s="7" t="str">
        <f>IF($B122&gt;Trainingsdaten!$H$3,"",INDEX(Trainingsdaten!C:C,$C122+1))</f>
        <v/>
      </c>
      <c r="F122" s="7" t="str">
        <f>IF($B122&gt;Trainingsdaten!$H$3,"",INDEX(Trainingsdaten!D:D,$C122+1))</f>
        <v/>
      </c>
      <c r="G122" s="7" t="str">
        <f>IF($B122&gt;Trainingsdaten!$H$3,"",INDEX(Trainingsdaten!E:E,$C122+1))</f>
        <v/>
      </c>
      <c r="H122" s="11" t="str">
        <f>IF($B122&gt;Trainingsdaten!$H$3,"",Trainingsdaten!$H$2)</f>
        <v/>
      </c>
      <c r="I122" s="7" t="str">
        <f>IF(B122&gt;Trainingsdaten!$H$3,"",I121+H122*N121*E122)</f>
        <v/>
      </c>
      <c r="J122" s="7" t="str">
        <f>IF(B122&gt;Trainingsdaten!$H$3,"",J121+H122*N121*F122)</f>
        <v/>
      </c>
      <c r="K122" s="7" t="str">
        <f>IF(B122&gt;Trainingsdaten!$H$3,"",K121+H122*N121)</f>
        <v/>
      </c>
      <c r="L122" s="7" t="str">
        <f>IF(B122&gt;Trainingsdaten!$H$3,"",E122*I122+F122*J122+K122)</f>
        <v/>
      </c>
      <c r="M122" s="7" t="str">
        <f>IF(B122&gt;Trainingsdaten!$H$3,"",IF(L122&gt;0,1,0))</f>
        <v/>
      </c>
      <c r="N122" s="7" t="str">
        <f>IF(B122&gt;Trainingsdaten!$H$3,"",G122-M122)</f>
        <v/>
      </c>
    </row>
    <row r="123" spans="1:14" x14ac:dyDescent="0.25">
      <c r="A123" s="9" t="str">
        <f>IF($B123&gt;Trainingsdaten!$H$3,"",MOD(ROW()-4,Trainingsdaten!$H$4)+1)</f>
        <v/>
      </c>
      <c r="B123" s="11" t="str">
        <f>IF(INT((ROW()-4)/Trainingsdaten!$H$4)+1&gt;Trainingsdaten!$H$3,"",INT((ROW()-4)/Trainingsdaten!$H$4)+1)</f>
        <v/>
      </c>
      <c r="C123" s="9" t="str">
        <f>IF(INT((ROW()-4)/Trainingsdaten!$H$4)+1&gt;Trainingsdaten!$H$3,"",MOD(ROW()-4,Trainingsdaten!$H$4)+1)</f>
        <v/>
      </c>
      <c r="D123" s="9" t="str">
        <f>IF($B123&gt;Trainingsdaten!$H$3,"",INDEX(Trainingsdaten!B:B,$C123+1))</f>
        <v/>
      </c>
      <c r="E123" s="7" t="str">
        <f>IF($B123&gt;Trainingsdaten!$H$3,"",INDEX(Trainingsdaten!C:C,$C123+1))</f>
        <v/>
      </c>
      <c r="F123" s="7" t="str">
        <f>IF($B123&gt;Trainingsdaten!$H$3,"",INDEX(Trainingsdaten!D:D,$C123+1))</f>
        <v/>
      </c>
      <c r="G123" s="7" t="str">
        <f>IF($B123&gt;Trainingsdaten!$H$3,"",INDEX(Trainingsdaten!E:E,$C123+1))</f>
        <v/>
      </c>
      <c r="H123" s="11" t="str">
        <f>IF($B123&gt;Trainingsdaten!$H$3,"",Trainingsdaten!$H$2)</f>
        <v/>
      </c>
      <c r="I123" s="7" t="str">
        <f>IF(B123&gt;Trainingsdaten!$H$3,"",I122+H123*N122*E123)</f>
        <v/>
      </c>
      <c r="J123" s="7" t="str">
        <f>IF(B123&gt;Trainingsdaten!$H$3,"",J122+H123*N122*F123)</f>
        <v/>
      </c>
      <c r="K123" s="7" t="str">
        <f>IF(B123&gt;Trainingsdaten!$H$3,"",K122+H123*N122)</f>
        <v/>
      </c>
      <c r="L123" s="7" t="str">
        <f>IF(B123&gt;Trainingsdaten!$H$3,"",E123*I123+F123*J123+K123)</f>
        <v/>
      </c>
      <c r="M123" s="7" t="str">
        <f>IF(B123&gt;Trainingsdaten!$H$3,"",IF(L123&gt;0,1,0))</f>
        <v/>
      </c>
      <c r="N123" s="7" t="str">
        <f>IF(B123&gt;Trainingsdaten!$H$3,"",G123-M123)</f>
        <v/>
      </c>
    </row>
    <row r="124" spans="1:14" x14ac:dyDescent="0.25">
      <c r="A124" s="9" t="str">
        <f>IF($B124&gt;Trainingsdaten!$H$3,"",MOD(ROW()-4,Trainingsdaten!$H$4)+1)</f>
        <v/>
      </c>
      <c r="B124" s="11" t="str">
        <f>IF(INT((ROW()-4)/Trainingsdaten!$H$4)+1&gt;Trainingsdaten!$H$3,"",INT((ROW()-4)/Trainingsdaten!$H$4)+1)</f>
        <v/>
      </c>
      <c r="C124" s="9" t="str">
        <f>IF(INT((ROW()-4)/Trainingsdaten!$H$4)+1&gt;Trainingsdaten!$H$3,"",MOD(ROW()-4,Trainingsdaten!$H$4)+1)</f>
        <v/>
      </c>
      <c r="D124" s="9" t="str">
        <f>IF($B124&gt;Trainingsdaten!$H$3,"",INDEX(Trainingsdaten!B:B,$C124+1))</f>
        <v/>
      </c>
      <c r="E124" s="7" t="str">
        <f>IF($B124&gt;Trainingsdaten!$H$3,"",INDEX(Trainingsdaten!C:C,$C124+1))</f>
        <v/>
      </c>
      <c r="F124" s="7" t="str">
        <f>IF($B124&gt;Trainingsdaten!$H$3,"",INDEX(Trainingsdaten!D:D,$C124+1))</f>
        <v/>
      </c>
      <c r="G124" s="7" t="str">
        <f>IF($B124&gt;Trainingsdaten!$H$3,"",INDEX(Trainingsdaten!E:E,$C124+1))</f>
        <v/>
      </c>
      <c r="H124" s="11" t="str">
        <f>IF($B124&gt;Trainingsdaten!$H$3,"",Trainingsdaten!$H$2)</f>
        <v/>
      </c>
      <c r="I124" s="7" t="str">
        <f>IF(B124&gt;Trainingsdaten!$H$3,"",I123+H124*N123*E124)</f>
        <v/>
      </c>
      <c r="J124" s="7" t="str">
        <f>IF(B124&gt;Trainingsdaten!$H$3,"",J123+H124*N123*F124)</f>
        <v/>
      </c>
      <c r="K124" s="7" t="str">
        <f>IF(B124&gt;Trainingsdaten!$H$3,"",K123+H124*N123)</f>
        <v/>
      </c>
      <c r="L124" s="7" t="str">
        <f>IF(B124&gt;Trainingsdaten!$H$3,"",E124*I124+F124*J124+K124)</f>
        <v/>
      </c>
      <c r="M124" s="7" t="str">
        <f>IF(B124&gt;Trainingsdaten!$H$3,"",IF(L124&gt;0,1,0))</f>
        <v/>
      </c>
      <c r="N124" s="7" t="str">
        <f>IF(B124&gt;Trainingsdaten!$H$3,"",G124-M124)</f>
        <v/>
      </c>
    </row>
    <row r="125" spans="1:14" x14ac:dyDescent="0.25">
      <c r="A125" s="9" t="str">
        <f>IF($B125&gt;Trainingsdaten!$H$3,"",MOD(ROW()-4,Trainingsdaten!$H$4)+1)</f>
        <v/>
      </c>
      <c r="B125" s="11" t="str">
        <f>IF(INT((ROW()-4)/Trainingsdaten!$H$4)+1&gt;Trainingsdaten!$H$3,"",INT((ROW()-4)/Trainingsdaten!$H$4)+1)</f>
        <v/>
      </c>
      <c r="C125" s="9" t="str">
        <f>IF(INT((ROW()-4)/Trainingsdaten!$H$4)+1&gt;Trainingsdaten!$H$3,"",MOD(ROW()-4,Trainingsdaten!$H$4)+1)</f>
        <v/>
      </c>
      <c r="D125" s="9" t="str">
        <f>IF($B125&gt;Trainingsdaten!$H$3,"",INDEX(Trainingsdaten!B:B,$C125+1))</f>
        <v/>
      </c>
      <c r="E125" s="7" t="str">
        <f>IF($B125&gt;Trainingsdaten!$H$3,"",INDEX(Trainingsdaten!C:C,$C125+1))</f>
        <v/>
      </c>
      <c r="F125" s="7" t="str">
        <f>IF($B125&gt;Trainingsdaten!$H$3,"",INDEX(Trainingsdaten!D:D,$C125+1))</f>
        <v/>
      </c>
      <c r="G125" s="7" t="str">
        <f>IF($B125&gt;Trainingsdaten!$H$3,"",INDEX(Trainingsdaten!E:E,$C125+1))</f>
        <v/>
      </c>
      <c r="H125" s="11" t="str">
        <f>IF($B125&gt;Trainingsdaten!$H$3,"",Trainingsdaten!$H$2)</f>
        <v/>
      </c>
      <c r="I125" s="7" t="str">
        <f>IF(B125&gt;Trainingsdaten!$H$3,"",I124+H125*N124*E125)</f>
        <v/>
      </c>
      <c r="J125" s="7" t="str">
        <f>IF(B125&gt;Trainingsdaten!$H$3,"",J124+H125*N124*F125)</f>
        <v/>
      </c>
      <c r="K125" s="7" t="str">
        <f>IF(B125&gt;Trainingsdaten!$H$3,"",K124+H125*N124)</f>
        <v/>
      </c>
      <c r="L125" s="7" t="str">
        <f>IF(B125&gt;Trainingsdaten!$H$3,"",E125*I125+F125*J125+K125)</f>
        <v/>
      </c>
      <c r="M125" s="7" t="str">
        <f>IF(B125&gt;Trainingsdaten!$H$3,"",IF(L125&gt;0,1,0))</f>
        <v/>
      </c>
      <c r="N125" s="7" t="str">
        <f>IF(B125&gt;Trainingsdaten!$H$3,"",G125-M125)</f>
        <v/>
      </c>
    </row>
    <row r="126" spans="1:14" x14ac:dyDescent="0.25">
      <c r="A126" s="9" t="str">
        <f>IF($B126&gt;Trainingsdaten!$H$3,"",MOD(ROW()-4,Trainingsdaten!$H$4)+1)</f>
        <v/>
      </c>
      <c r="B126" s="11" t="str">
        <f>IF(INT((ROW()-4)/Trainingsdaten!$H$4)+1&gt;Trainingsdaten!$H$3,"",INT((ROW()-4)/Trainingsdaten!$H$4)+1)</f>
        <v/>
      </c>
      <c r="C126" s="9" t="str">
        <f>IF(INT((ROW()-4)/Trainingsdaten!$H$4)+1&gt;Trainingsdaten!$H$3,"",MOD(ROW()-4,Trainingsdaten!$H$4)+1)</f>
        <v/>
      </c>
      <c r="D126" s="9" t="str">
        <f>IF($B126&gt;Trainingsdaten!$H$3,"",INDEX(Trainingsdaten!B:B,$C126+1))</f>
        <v/>
      </c>
      <c r="E126" s="7" t="str">
        <f>IF($B126&gt;Trainingsdaten!$H$3,"",INDEX(Trainingsdaten!C:C,$C126+1))</f>
        <v/>
      </c>
      <c r="F126" s="7" t="str">
        <f>IF($B126&gt;Trainingsdaten!$H$3,"",INDEX(Trainingsdaten!D:D,$C126+1))</f>
        <v/>
      </c>
      <c r="G126" s="7" t="str">
        <f>IF($B126&gt;Trainingsdaten!$H$3,"",INDEX(Trainingsdaten!E:E,$C126+1))</f>
        <v/>
      </c>
      <c r="H126" s="11" t="str">
        <f>IF($B126&gt;Trainingsdaten!$H$3,"",Trainingsdaten!$H$2)</f>
        <v/>
      </c>
      <c r="I126" s="7" t="str">
        <f>IF(B126&gt;Trainingsdaten!$H$3,"",I125+H126*N125*E126)</f>
        <v/>
      </c>
      <c r="J126" s="7" t="str">
        <f>IF(B126&gt;Trainingsdaten!$H$3,"",J125+H126*N125*F126)</f>
        <v/>
      </c>
      <c r="K126" s="7" t="str">
        <f>IF(B126&gt;Trainingsdaten!$H$3,"",K125+H126*N125)</f>
        <v/>
      </c>
      <c r="L126" s="7" t="str">
        <f>IF(B126&gt;Trainingsdaten!$H$3,"",E126*I126+F126*J126+K126)</f>
        <v/>
      </c>
      <c r="M126" s="7" t="str">
        <f>IF(B126&gt;Trainingsdaten!$H$3,"",IF(L126&gt;0,1,0))</f>
        <v/>
      </c>
      <c r="N126" s="7" t="str">
        <f>IF(B126&gt;Trainingsdaten!$H$3,"",G126-M126)</f>
        <v/>
      </c>
    </row>
    <row r="127" spans="1:14" x14ac:dyDescent="0.25">
      <c r="A127" s="9" t="str">
        <f>IF($B127&gt;Trainingsdaten!$H$3,"",MOD(ROW()-4,Trainingsdaten!$H$4)+1)</f>
        <v/>
      </c>
      <c r="B127" s="11" t="str">
        <f>IF(INT((ROW()-4)/Trainingsdaten!$H$4)+1&gt;Trainingsdaten!$H$3,"",INT((ROW()-4)/Trainingsdaten!$H$4)+1)</f>
        <v/>
      </c>
      <c r="C127" s="9" t="str">
        <f>IF(INT((ROW()-4)/Trainingsdaten!$H$4)+1&gt;Trainingsdaten!$H$3,"",MOD(ROW()-4,Trainingsdaten!$H$4)+1)</f>
        <v/>
      </c>
      <c r="D127" s="9" t="str">
        <f>IF($B127&gt;Trainingsdaten!$H$3,"",INDEX(Trainingsdaten!B:B,$C127+1))</f>
        <v/>
      </c>
      <c r="E127" s="7" t="str">
        <f>IF($B127&gt;Trainingsdaten!$H$3,"",INDEX(Trainingsdaten!C:C,$C127+1))</f>
        <v/>
      </c>
      <c r="F127" s="7" t="str">
        <f>IF($B127&gt;Trainingsdaten!$H$3,"",INDEX(Trainingsdaten!D:D,$C127+1))</f>
        <v/>
      </c>
      <c r="G127" s="7" t="str">
        <f>IF($B127&gt;Trainingsdaten!$H$3,"",INDEX(Trainingsdaten!E:E,$C127+1))</f>
        <v/>
      </c>
      <c r="H127" s="11" t="str">
        <f>IF($B127&gt;Trainingsdaten!$H$3,"",Trainingsdaten!$H$2)</f>
        <v/>
      </c>
      <c r="I127" s="7" t="str">
        <f>IF(B127&gt;Trainingsdaten!$H$3,"",I126+H127*N126*E127)</f>
        <v/>
      </c>
      <c r="J127" s="7" t="str">
        <f>IF(B127&gt;Trainingsdaten!$H$3,"",J126+H127*N126*F127)</f>
        <v/>
      </c>
      <c r="K127" s="7" t="str">
        <f>IF(B127&gt;Trainingsdaten!$H$3,"",K126+H127*N126)</f>
        <v/>
      </c>
      <c r="L127" s="7" t="str">
        <f>IF(B127&gt;Trainingsdaten!$H$3,"",E127*I127+F127*J127+K127)</f>
        <v/>
      </c>
      <c r="M127" s="7" t="str">
        <f>IF(B127&gt;Trainingsdaten!$H$3,"",IF(L127&gt;0,1,0))</f>
        <v/>
      </c>
      <c r="N127" s="7" t="str">
        <f>IF(B127&gt;Trainingsdaten!$H$3,"",G127-M127)</f>
        <v/>
      </c>
    </row>
    <row r="128" spans="1:14" x14ac:dyDescent="0.25">
      <c r="A128" s="9" t="str">
        <f>IF($B128&gt;Trainingsdaten!$H$3,"",MOD(ROW()-4,Trainingsdaten!$H$4)+1)</f>
        <v/>
      </c>
      <c r="B128" s="11" t="str">
        <f>IF(INT((ROW()-4)/Trainingsdaten!$H$4)+1&gt;Trainingsdaten!$H$3,"",INT((ROW()-4)/Trainingsdaten!$H$4)+1)</f>
        <v/>
      </c>
      <c r="C128" s="9" t="str">
        <f>IF(INT((ROW()-4)/Trainingsdaten!$H$4)+1&gt;Trainingsdaten!$H$3,"",MOD(ROW()-4,Trainingsdaten!$H$4)+1)</f>
        <v/>
      </c>
      <c r="D128" s="9" t="str">
        <f>IF($B128&gt;Trainingsdaten!$H$3,"",INDEX(Trainingsdaten!B:B,$C128+1))</f>
        <v/>
      </c>
      <c r="E128" s="7" t="str">
        <f>IF($B128&gt;Trainingsdaten!$H$3,"",INDEX(Trainingsdaten!C:C,$C128+1))</f>
        <v/>
      </c>
      <c r="F128" s="7" t="str">
        <f>IF($B128&gt;Trainingsdaten!$H$3,"",INDEX(Trainingsdaten!D:D,$C128+1))</f>
        <v/>
      </c>
      <c r="G128" s="7" t="str">
        <f>IF($B128&gt;Trainingsdaten!$H$3,"",INDEX(Trainingsdaten!E:E,$C128+1))</f>
        <v/>
      </c>
      <c r="H128" s="11" t="str">
        <f>IF($B128&gt;Trainingsdaten!$H$3,"",Trainingsdaten!$H$2)</f>
        <v/>
      </c>
      <c r="I128" s="7" t="str">
        <f>IF(B128&gt;Trainingsdaten!$H$3,"",I127+H128*N127*E128)</f>
        <v/>
      </c>
      <c r="J128" s="7" t="str">
        <f>IF(B128&gt;Trainingsdaten!$H$3,"",J127+H128*N127*F128)</f>
        <v/>
      </c>
      <c r="K128" s="7" t="str">
        <f>IF(B128&gt;Trainingsdaten!$H$3,"",K127+H128*N127)</f>
        <v/>
      </c>
      <c r="L128" s="7" t="str">
        <f>IF(B128&gt;Trainingsdaten!$H$3,"",E128*I128+F128*J128+K128)</f>
        <v/>
      </c>
      <c r="M128" s="7" t="str">
        <f>IF(B128&gt;Trainingsdaten!$H$3,"",IF(L128&gt;0,1,0))</f>
        <v/>
      </c>
      <c r="N128" s="7" t="str">
        <f>IF(B128&gt;Trainingsdaten!$H$3,"",G128-M128)</f>
        <v/>
      </c>
    </row>
    <row r="129" spans="1:14" x14ac:dyDescent="0.25">
      <c r="A129" s="9" t="str">
        <f>IF($B129&gt;Trainingsdaten!$H$3,"",MOD(ROW()-4,Trainingsdaten!$H$4)+1)</f>
        <v/>
      </c>
      <c r="B129" s="11" t="str">
        <f>IF(INT((ROW()-4)/Trainingsdaten!$H$4)+1&gt;Trainingsdaten!$H$3,"",INT((ROW()-4)/Trainingsdaten!$H$4)+1)</f>
        <v/>
      </c>
      <c r="C129" s="9" t="str">
        <f>IF(INT((ROW()-4)/Trainingsdaten!$H$4)+1&gt;Trainingsdaten!$H$3,"",MOD(ROW()-4,Trainingsdaten!$H$4)+1)</f>
        <v/>
      </c>
      <c r="D129" s="9" t="str">
        <f>IF($B129&gt;Trainingsdaten!$H$3,"",INDEX(Trainingsdaten!B:B,$C129+1))</f>
        <v/>
      </c>
      <c r="E129" s="7" t="str">
        <f>IF($B129&gt;Trainingsdaten!$H$3,"",INDEX(Trainingsdaten!C:C,$C129+1))</f>
        <v/>
      </c>
      <c r="F129" s="7" t="str">
        <f>IF($B129&gt;Trainingsdaten!$H$3,"",INDEX(Trainingsdaten!D:D,$C129+1))</f>
        <v/>
      </c>
      <c r="G129" s="7" t="str">
        <f>IF($B129&gt;Trainingsdaten!$H$3,"",INDEX(Trainingsdaten!E:E,$C129+1))</f>
        <v/>
      </c>
      <c r="H129" s="11" t="str">
        <f>IF($B129&gt;Trainingsdaten!$H$3,"",Trainingsdaten!$H$2)</f>
        <v/>
      </c>
      <c r="I129" s="7" t="str">
        <f>IF(B129&gt;Trainingsdaten!$H$3,"",I128+H129*N128*E129)</f>
        <v/>
      </c>
      <c r="J129" s="7" t="str">
        <f>IF(B129&gt;Trainingsdaten!$H$3,"",J128+H129*N128*F129)</f>
        <v/>
      </c>
      <c r="K129" s="7" t="str">
        <f>IF(B129&gt;Trainingsdaten!$H$3,"",K128+H129*N128)</f>
        <v/>
      </c>
      <c r="L129" s="7" t="str">
        <f>IF(B129&gt;Trainingsdaten!$H$3,"",E129*I129+F129*J129+K129)</f>
        <v/>
      </c>
      <c r="M129" s="7" t="str">
        <f>IF(B129&gt;Trainingsdaten!$H$3,"",IF(L129&gt;0,1,0))</f>
        <v/>
      </c>
      <c r="N129" s="7" t="str">
        <f>IF(B129&gt;Trainingsdaten!$H$3,"",G129-M129)</f>
        <v/>
      </c>
    </row>
    <row r="130" spans="1:14" x14ac:dyDescent="0.25">
      <c r="A130" s="9" t="str">
        <f>IF($B130&gt;Trainingsdaten!$H$3,"",MOD(ROW()-4,Trainingsdaten!$H$4)+1)</f>
        <v/>
      </c>
      <c r="B130" s="11" t="str">
        <f>IF(INT((ROW()-4)/Trainingsdaten!$H$4)+1&gt;Trainingsdaten!$H$3,"",INT((ROW()-4)/Trainingsdaten!$H$4)+1)</f>
        <v/>
      </c>
      <c r="C130" s="9" t="str">
        <f>IF(INT((ROW()-4)/Trainingsdaten!$H$4)+1&gt;Trainingsdaten!$H$3,"",MOD(ROW()-4,Trainingsdaten!$H$4)+1)</f>
        <v/>
      </c>
      <c r="D130" s="9" t="str">
        <f>IF($B130&gt;Trainingsdaten!$H$3,"",INDEX(Trainingsdaten!B:B,$C130+1))</f>
        <v/>
      </c>
      <c r="E130" s="7" t="str">
        <f>IF($B130&gt;Trainingsdaten!$H$3,"",INDEX(Trainingsdaten!C:C,$C130+1))</f>
        <v/>
      </c>
      <c r="F130" s="7" t="str">
        <f>IF($B130&gt;Trainingsdaten!$H$3,"",INDEX(Trainingsdaten!D:D,$C130+1))</f>
        <v/>
      </c>
      <c r="G130" s="7" t="str">
        <f>IF($B130&gt;Trainingsdaten!$H$3,"",INDEX(Trainingsdaten!E:E,$C130+1))</f>
        <v/>
      </c>
      <c r="H130" s="11" t="str">
        <f>IF($B130&gt;Trainingsdaten!$H$3,"",Trainingsdaten!$H$2)</f>
        <v/>
      </c>
      <c r="I130" s="7" t="str">
        <f>IF(B130&gt;Trainingsdaten!$H$3,"",I129+H130*N129*E130)</f>
        <v/>
      </c>
      <c r="J130" s="7" t="str">
        <f>IF(B130&gt;Trainingsdaten!$H$3,"",J129+H130*N129*F130)</f>
        <v/>
      </c>
      <c r="K130" s="7" t="str">
        <f>IF(B130&gt;Trainingsdaten!$H$3,"",K129+H130*N129)</f>
        <v/>
      </c>
      <c r="L130" s="7" t="str">
        <f>IF(B130&gt;Trainingsdaten!$H$3,"",E130*I130+F130*J130+K130)</f>
        <v/>
      </c>
      <c r="M130" s="7" t="str">
        <f>IF(B130&gt;Trainingsdaten!$H$3,"",IF(L130&gt;0,1,0))</f>
        <v/>
      </c>
      <c r="N130" s="7" t="str">
        <f>IF(B130&gt;Trainingsdaten!$H$3,"",G130-M130)</f>
        <v/>
      </c>
    </row>
    <row r="131" spans="1:14" x14ac:dyDescent="0.25">
      <c r="A131" s="9" t="str">
        <f>IF($B131&gt;Trainingsdaten!$H$3,"",MOD(ROW()-4,Trainingsdaten!$H$4)+1)</f>
        <v/>
      </c>
      <c r="B131" s="11" t="str">
        <f>IF(INT((ROW()-4)/Trainingsdaten!$H$4)+1&gt;Trainingsdaten!$H$3,"",INT((ROW()-4)/Trainingsdaten!$H$4)+1)</f>
        <v/>
      </c>
      <c r="C131" s="9" t="str">
        <f>IF(INT((ROW()-4)/Trainingsdaten!$H$4)+1&gt;Trainingsdaten!$H$3,"",MOD(ROW()-4,Trainingsdaten!$H$4)+1)</f>
        <v/>
      </c>
      <c r="D131" s="9" t="str">
        <f>IF($B131&gt;Trainingsdaten!$H$3,"",INDEX(Trainingsdaten!B:B,$C131+1))</f>
        <v/>
      </c>
      <c r="E131" s="7" t="str">
        <f>IF($B131&gt;Trainingsdaten!$H$3,"",INDEX(Trainingsdaten!C:C,$C131+1))</f>
        <v/>
      </c>
      <c r="F131" s="7" t="str">
        <f>IF($B131&gt;Trainingsdaten!$H$3,"",INDEX(Trainingsdaten!D:D,$C131+1))</f>
        <v/>
      </c>
      <c r="G131" s="7" t="str">
        <f>IF($B131&gt;Trainingsdaten!$H$3,"",INDEX(Trainingsdaten!E:E,$C131+1))</f>
        <v/>
      </c>
      <c r="H131" s="11" t="str">
        <f>IF($B131&gt;Trainingsdaten!$H$3,"",Trainingsdaten!$H$2)</f>
        <v/>
      </c>
      <c r="I131" s="7" t="str">
        <f>IF(B131&gt;Trainingsdaten!$H$3,"",I130+H131*N130*E131)</f>
        <v/>
      </c>
      <c r="J131" s="7" t="str">
        <f>IF(B131&gt;Trainingsdaten!$H$3,"",J130+H131*N130*F131)</f>
        <v/>
      </c>
      <c r="K131" s="7" t="str">
        <f>IF(B131&gt;Trainingsdaten!$H$3,"",K130+H131*N130)</f>
        <v/>
      </c>
      <c r="L131" s="7" t="str">
        <f>IF(B131&gt;Trainingsdaten!$H$3,"",E131*I131+F131*J131+K131)</f>
        <v/>
      </c>
      <c r="M131" s="7" t="str">
        <f>IF(B131&gt;Trainingsdaten!$H$3,"",IF(L131&gt;0,1,0))</f>
        <v/>
      </c>
      <c r="N131" s="7" t="str">
        <f>IF(B131&gt;Trainingsdaten!$H$3,"",G131-M131)</f>
        <v/>
      </c>
    </row>
    <row r="132" spans="1:14" x14ac:dyDescent="0.25">
      <c r="A132" s="9" t="str">
        <f>IF($B132&gt;Trainingsdaten!$H$3,"",MOD(ROW()-4,Trainingsdaten!$H$4)+1)</f>
        <v/>
      </c>
      <c r="B132" s="11" t="str">
        <f>IF(INT((ROW()-4)/Trainingsdaten!$H$4)+1&gt;Trainingsdaten!$H$3,"",INT((ROW()-4)/Trainingsdaten!$H$4)+1)</f>
        <v/>
      </c>
      <c r="C132" s="9" t="str">
        <f>IF(INT((ROW()-4)/Trainingsdaten!$H$4)+1&gt;Trainingsdaten!$H$3,"",MOD(ROW()-4,Trainingsdaten!$H$4)+1)</f>
        <v/>
      </c>
      <c r="D132" s="9" t="str">
        <f>IF($B132&gt;Trainingsdaten!$H$3,"",INDEX(Trainingsdaten!B:B,$C132+1))</f>
        <v/>
      </c>
      <c r="E132" s="7" t="str">
        <f>IF($B132&gt;Trainingsdaten!$H$3,"",INDEX(Trainingsdaten!C:C,$C132+1))</f>
        <v/>
      </c>
      <c r="F132" s="7" t="str">
        <f>IF($B132&gt;Trainingsdaten!$H$3,"",INDEX(Trainingsdaten!D:D,$C132+1))</f>
        <v/>
      </c>
      <c r="G132" s="7" t="str">
        <f>IF($B132&gt;Trainingsdaten!$H$3,"",INDEX(Trainingsdaten!E:E,$C132+1))</f>
        <v/>
      </c>
      <c r="H132" s="11" t="str">
        <f>IF($B132&gt;Trainingsdaten!$H$3,"",Trainingsdaten!$H$2)</f>
        <v/>
      </c>
      <c r="I132" s="7" t="str">
        <f>IF(B132&gt;Trainingsdaten!$H$3,"",I131+H132*N131*E132)</f>
        <v/>
      </c>
      <c r="J132" s="7" t="str">
        <f>IF(B132&gt;Trainingsdaten!$H$3,"",J131+H132*N131*F132)</f>
        <v/>
      </c>
      <c r="K132" s="7" t="str">
        <f>IF(B132&gt;Trainingsdaten!$H$3,"",K131+H132*N131)</f>
        <v/>
      </c>
      <c r="L132" s="7" t="str">
        <f>IF(B132&gt;Trainingsdaten!$H$3,"",E132*I132+F132*J132+K132)</f>
        <v/>
      </c>
      <c r="M132" s="7" t="str">
        <f>IF(B132&gt;Trainingsdaten!$H$3,"",IF(L132&gt;0,1,0))</f>
        <v/>
      </c>
      <c r="N132" s="7" t="str">
        <f>IF(B132&gt;Trainingsdaten!$H$3,"",G132-M132)</f>
        <v/>
      </c>
    </row>
    <row r="133" spans="1:14" x14ac:dyDescent="0.25">
      <c r="A133" s="9" t="str">
        <f>IF($B133&gt;Trainingsdaten!$H$3,"",MOD(ROW()-4,Trainingsdaten!$H$4)+1)</f>
        <v/>
      </c>
      <c r="B133" s="11" t="str">
        <f>IF(INT((ROW()-4)/Trainingsdaten!$H$4)+1&gt;Trainingsdaten!$H$3,"",INT((ROW()-4)/Trainingsdaten!$H$4)+1)</f>
        <v/>
      </c>
      <c r="C133" s="9" t="str">
        <f>IF(INT((ROW()-4)/Trainingsdaten!$H$4)+1&gt;Trainingsdaten!$H$3,"",MOD(ROW()-4,Trainingsdaten!$H$4)+1)</f>
        <v/>
      </c>
      <c r="D133" s="9" t="str">
        <f>IF($B133&gt;Trainingsdaten!$H$3,"",INDEX(Trainingsdaten!B:B,$C133+1))</f>
        <v/>
      </c>
      <c r="E133" s="7" t="str">
        <f>IF($B133&gt;Trainingsdaten!$H$3,"",INDEX(Trainingsdaten!C:C,$C133+1))</f>
        <v/>
      </c>
      <c r="F133" s="7" t="str">
        <f>IF($B133&gt;Trainingsdaten!$H$3,"",INDEX(Trainingsdaten!D:D,$C133+1))</f>
        <v/>
      </c>
      <c r="G133" s="7" t="str">
        <f>IF($B133&gt;Trainingsdaten!$H$3,"",INDEX(Trainingsdaten!E:E,$C133+1))</f>
        <v/>
      </c>
      <c r="H133" s="11" t="str">
        <f>IF($B133&gt;Trainingsdaten!$H$3,"",Trainingsdaten!$H$2)</f>
        <v/>
      </c>
      <c r="I133" s="7" t="str">
        <f>IF(B133&gt;Trainingsdaten!$H$3,"",I132+H133*N132*E133)</f>
        <v/>
      </c>
      <c r="J133" s="7" t="str">
        <f>IF(B133&gt;Trainingsdaten!$H$3,"",J132+H133*N132*F133)</f>
        <v/>
      </c>
      <c r="K133" s="7" t="str">
        <f>IF(B133&gt;Trainingsdaten!$H$3,"",K132+H133*N132)</f>
        <v/>
      </c>
      <c r="L133" s="7" t="str">
        <f>IF(B133&gt;Trainingsdaten!$H$3,"",E133*I133+F133*J133+K133)</f>
        <v/>
      </c>
      <c r="M133" s="7" t="str">
        <f>IF(B133&gt;Trainingsdaten!$H$3,"",IF(L133&gt;0,1,0))</f>
        <v/>
      </c>
      <c r="N133" s="7" t="str">
        <f>IF(B133&gt;Trainingsdaten!$H$3,"",G133-M133)</f>
        <v/>
      </c>
    </row>
    <row r="134" spans="1:14" x14ac:dyDescent="0.25">
      <c r="A134" s="9" t="str">
        <f>IF($B134&gt;Trainingsdaten!$H$3,"",MOD(ROW()-4,Trainingsdaten!$H$4)+1)</f>
        <v/>
      </c>
      <c r="B134" s="11" t="str">
        <f>IF(INT((ROW()-4)/Trainingsdaten!$H$4)+1&gt;Trainingsdaten!$H$3,"",INT((ROW()-4)/Trainingsdaten!$H$4)+1)</f>
        <v/>
      </c>
      <c r="C134" s="9" t="str">
        <f>IF(INT((ROW()-4)/Trainingsdaten!$H$4)+1&gt;Trainingsdaten!$H$3,"",MOD(ROW()-4,Trainingsdaten!$H$4)+1)</f>
        <v/>
      </c>
      <c r="D134" s="9" t="str">
        <f>IF($B134&gt;Trainingsdaten!$H$3,"",INDEX(Trainingsdaten!B:B,$C134+1))</f>
        <v/>
      </c>
      <c r="E134" s="7" t="str">
        <f>IF($B134&gt;Trainingsdaten!$H$3,"",INDEX(Trainingsdaten!C:C,$C134+1))</f>
        <v/>
      </c>
      <c r="F134" s="7" t="str">
        <f>IF($B134&gt;Trainingsdaten!$H$3,"",INDEX(Trainingsdaten!D:D,$C134+1))</f>
        <v/>
      </c>
      <c r="G134" s="7" t="str">
        <f>IF($B134&gt;Trainingsdaten!$H$3,"",INDEX(Trainingsdaten!E:E,$C134+1))</f>
        <v/>
      </c>
      <c r="H134" s="11" t="str">
        <f>IF($B134&gt;Trainingsdaten!$H$3,"",Trainingsdaten!$H$2)</f>
        <v/>
      </c>
      <c r="I134" s="7" t="str">
        <f>IF(B134&gt;Trainingsdaten!$H$3,"",I133+H134*N133*E134)</f>
        <v/>
      </c>
      <c r="J134" s="7" t="str">
        <f>IF(B134&gt;Trainingsdaten!$H$3,"",J133+H134*N133*F134)</f>
        <v/>
      </c>
      <c r="K134" s="7" t="str">
        <f>IF(B134&gt;Trainingsdaten!$H$3,"",K133+H134*N133)</f>
        <v/>
      </c>
      <c r="L134" s="7" t="str">
        <f>IF(B134&gt;Trainingsdaten!$H$3,"",E134*I134+F134*J134+K134)</f>
        <v/>
      </c>
      <c r="M134" s="7" t="str">
        <f>IF(B134&gt;Trainingsdaten!$H$3,"",IF(L134&gt;0,1,0))</f>
        <v/>
      </c>
      <c r="N134" s="7" t="str">
        <f>IF(B134&gt;Trainingsdaten!$H$3,"",G134-M134)</f>
        <v/>
      </c>
    </row>
    <row r="135" spans="1:14" x14ac:dyDescent="0.25">
      <c r="A135" s="9" t="str">
        <f>IF($B135&gt;Trainingsdaten!$H$3,"",MOD(ROW()-4,Trainingsdaten!$H$4)+1)</f>
        <v/>
      </c>
      <c r="B135" s="11" t="str">
        <f>IF(INT((ROW()-4)/Trainingsdaten!$H$4)+1&gt;Trainingsdaten!$H$3,"",INT((ROW()-4)/Trainingsdaten!$H$4)+1)</f>
        <v/>
      </c>
      <c r="C135" s="9" t="str">
        <f>IF(INT((ROW()-4)/Trainingsdaten!$H$4)+1&gt;Trainingsdaten!$H$3,"",MOD(ROW()-4,Trainingsdaten!$H$4)+1)</f>
        <v/>
      </c>
      <c r="D135" s="9" t="str">
        <f>IF($B135&gt;Trainingsdaten!$H$3,"",INDEX(Trainingsdaten!B:B,$C135+1))</f>
        <v/>
      </c>
      <c r="E135" s="7" t="str">
        <f>IF($B135&gt;Trainingsdaten!$H$3,"",INDEX(Trainingsdaten!C:C,$C135+1))</f>
        <v/>
      </c>
      <c r="F135" s="7" t="str">
        <f>IF($B135&gt;Trainingsdaten!$H$3,"",INDEX(Trainingsdaten!D:D,$C135+1))</f>
        <v/>
      </c>
      <c r="G135" s="7" t="str">
        <f>IF($B135&gt;Trainingsdaten!$H$3,"",INDEX(Trainingsdaten!E:E,$C135+1))</f>
        <v/>
      </c>
      <c r="H135" s="11" t="str">
        <f>IF($B135&gt;Trainingsdaten!$H$3,"",Trainingsdaten!$H$2)</f>
        <v/>
      </c>
      <c r="I135" s="7" t="str">
        <f>IF(B135&gt;Trainingsdaten!$H$3,"",I134+H135*N134*E135)</f>
        <v/>
      </c>
      <c r="J135" s="7" t="str">
        <f>IF(B135&gt;Trainingsdaten!$H$3,"",J134+H135*N134*F135)</f>
        <v/>
      </c>
      <c r="K135" s="7" t="str">
        <f>IF(B135&gt;Trainingsdaten!$H$3,"",K134+H135*N134)</f>
        <v/>
      </c>
      <c r="L135" s="7" t="str">
        <f>IF(B135&gt;Trainingsdaten!$H$3,"",E135*I135+F135*J135+K135)</f>
        <v/>
      </c>
      <c r="M135" s="7" t="str">
        <f>IF(B135&gt;Trainingsdaten!$H$3,"",IF(L135&gt;0,1,0))</f>
        <v/>
      </c>
      <c r="N135" s="7" t="str">
        <f>IF(B135&gt;Trainingsdaten!$H$3,"",G135-M135)</f>
        <v/>
      </c>
    </row>
    <row r="136" spans="1:14" x14ac:dyDescent="0.25">
      <c r="A136" s="9" t="str">
        <f>IF($B136&gt;Trainingsdaten!$H$3,"",MOD(ROW()-4,Trainingsdaten!$H$4)+1)</f>
        <v/>
      </c>
      <c r="B136" s="11" t="str">
        <f>IF(INT((ROW()-4)/Trainingsdaten!$H$4)+1&gt;Trainingsdaten!$H$3,"",INT((ROW()-4)/Trainingsdaten!$H$4)+1)</f>
        <v/>
      </c>
      <c r="C136" s="9" t="str">
        <f>IF(INT((ROW()-4)/Trainingsdaten!$H$4)+1&gt;Trainingsdaten!$H$3,"",MOD(ROW()-4,Trainingsdaten!$H$4)+1)</f>
        <v/>
      </c>
      <c r="D136" s="9" t="str">
        <f>IF($B136&gt;Trainingsdaten!$H$3,"",INDEX(Trainingsdaten!B:B,$C136+1))</f>
        <v/>
      </c>
      <c r="E136" s="7" t="str">
        <f>IF($B136&gt;Trainingsdaten!$H$3,"",INDEX(Trainingsdaten!C:C,$C136+1))</f>
        <v/>
      </c>
      <c r="F136" s="7" t="str">
        <f>IF($B136&gt;Trainingsdaten!$H$3,"",INDEX(Trainingsdaten!D:D,$C136+1))</f>
        <v/>
      </c>
      <c r="G136" s="7" t="str">
        <f>IF($B136&gt;Trainingsdaten!$H$3,"",INDEX(Trainingsdaten!E:E,$C136+1))</f>
        <v/>
      </c>
      <c r="H136" s="11" t="str">
        <f>IF($B136&gt;Trainingsdaten!$H$3,"",Trainingsdaten!$H$2)</f>
        <v/>
      </c>
      <c r="I136" s="7" t="str">
        <f>IF(B136&gt;Trainingsdaten!$H$3,"",I135+H136*N135*E136)</f>
        <v/>
      </c>
      <c r="J136" s="7" t="str">
        <f>IF(B136&gt;Trainingsdaten!$H$3,"",J135+H136*N135*F136)</f>
        <v/>
      </c>
      <c r="K136" s="7" t="str">
        <f>IF(B136&gt;Trainingsdaten!$H$3,"",K135+H136*N135)</f>
        <v/>
      </c>
      <c r="L136" s="7" t="str">
        <f>IF(B136&gt;Trainingsdaten!$H$3,"",E136*I136+F136*J136+K136)</f>
        <v/>
      </c>
      <c r="M136" s="7" t="str">
        <f>IF(B136&gt;Trainingsdaten!$H$3,"",IF(L136&gt;0,1,0))</f>
        <v/>
      </c>
      <c r="N136" s="7" t="str">
        <f>IF(B136&gt;Trainingsdaten!$H$3,"",G136-M136)</f>
        <v/>
      </c>
    </row>
    <row r="137" spans="1:14" x14ac:dyDescent="0.25">
      <c r="A137" s="9" t="str">
        <f>IF($B137&gt;Trainingsdaten!$H$3,"",MOD(ROW()-4,Trainingsdaten!$H$4)+1)</f>
        <v/>
      </c>
      <c r="B137" s="11" t="str">
        <f>IF(INT((ROW()-4)/Trainingsdaten!$H$4)+1&gt;Trainingsdaten!$H$3,"",INT((ROW()-4)/Trainingsdaten!$H$4)+1)</f>
        <v/>
      </c>
      <c r="C137" s="9" t="str">
        <f>IF(INT((ROW()-4)/Trainingsdaten!$H$4)+1&gt;Trainingsdaten!$H$3,"",MOD(ROW()-4,Trainingsdaten!$H$4)+1)</f>
        <v/>
      </c>
      <c r="D137" s="9" t="str">
        <f>IF($B137&gt;Trainingsdaten!$H$3,"",INDEX(Trainingsdaten!B:B,$C137+1))</f>
        <v/>
      </c>
      <c r="E137" s="7" t="str">
        <f>IF($B137&gt;Trainingsdaten!$H$3,"",INDEX(Trainingsdaten!C:C,$C137+1))</f>
        <v/>
      </c>
      <c r="F137" s="7" t="str">
        <f>IF($B137&gt;Trainingsdaten!$H$3,"",INDEX(Trainingsdaten!D:D,$C137+1))</f>
        <v/>
      </c>
      <c r="G137" s="7" t="str">
        <f>IF($B137&gt;Trainingsdaten!$H$3,"",INDEX(Trainingsdaten!E:E,$C137+1))</f>
        <v/>
      </c>
      <c r="H137" s="11" t="str">
        <f>IF($B137&gt;Trainingsdaten!$H$3,"",Trainingsdaten!$H$2)</f>
        <v/>
      </c>
      <c r="I137" s="7" t="str">
        <f>IF(B137&gt;Trainingsdaten!$H$3,"",I136+H137*N136*E137)</f>
        <v/>
      </c>
      <c r="J137" s="7" t="str">
        <f>IF(B137&gt;Trainingsdaten!$H$3,"",J136+H137*N136*F137)</f>
        <v/>
      </c>
      <c r="K137" s="7" t="str">
        <f>IF(B137&gt;Trainingsdaten!$H$3,"",K136+H137*N136)</f>
        <v/>
      </c>
      <c r="L137" s="7" t="str">
        <f>IF(B137&gt;Trainingsdaten!$H$3,"",E137*I137+F137*J137+K137)</f>
        <v/>
      </c>
      <c r="M137" s="7" t="str">
        <f>IF(B137&gt;Trainingsdaten!$H$3,"",IF(L137&gt;0,1,0))</f>
        <v/>
      </c>
      <c r="N137" s="7" t="str">
        <f>IF(B137&gt;Trainingsdaten!$H$3,"",G137-M137)</f>
        <v/>
      </c>
    </row>
    <row r="138" spans="1:14" x14ac:dyDescent="0.25">
      <c r="A138" s="9" t="str">
        <f>IF($B138&gt;Trainingsdaten!$H$3,"",MOD(ROW()-4,Trainingsdaten!$H$4)+1)</f>
        <v/>
      </c>
      <c r="B138" s="11" t="str">
        <f>IF(INT((ROW()-4)/Trainingsdaten!$H$4)+1&gt;Trainingsdaten!$H$3,"",INT((ROW()-4)/Trainingsdaten!$H$4)+1)</f>
        <v/>
      </c>
      <c r="C138" s="9" t="str">
        <f>IF(INT((ROW()-4)/Trainingsdaten!$H$4)+1&gt;Trainingsdaten!$H$3,"",MOD(ROW()-4,Trainingsdaten!$H$4)+1)</f>
        <v/>
      </c>
      <c r="D138" s="9" t="str">
        <f>IF($B138&gt;Trainingsdaten!$H$3,"",INDEX(Trainingsdaten!B:B,$C138+1))</f>
        <v/>
      </c>
      <c r="E138" s="7" t="str">
        <f>IF($B138&gt;Trainingsdaten!$H$3,"",INDEX(Trainingsdaten!C:C,$C138+1))</f>
        <v/>
      </c>
      <c r="F138" s="7" t="str">
        <f>IF($B138&gt;Trainingsdaten!$H$3,"",INDEX(Trainingsdaten!D:D,$C138+1))</f>
        <v/>
      </c>
      <c r="G138" s="7" t="str">
        <f>IF($B138&gt;Trainingsdaten!$H$3,"",INDEX(Trainingsdaten!E:E,$C138+1))</f>
        <v/>
      </c>
      <c r="H138" s="11" t="str">
        <f>IF($B138&gt;Trainingsdaten!$H$3,"",Trainingsdaten!$H$2)</f>
        <v/>
      </c>
      <c r="I138" s="7" t="str">
        <f>IF(B138&gt;Trainingsdaten!$H$3,"",I137+H138*N137*E138)</f>
        <v/>
      </c>
      <c r="J138" s="7" t="str">
        <f>IF(B138&gt;Trainingsdaten!$H$3,"",J137+H138*N137*F138)</f>
        <v/>
      </c>
      <c r="K138" s="7" t="str">
        <f>IF(B138&gt;Trainingsdaten!$H$3,"",K137+H138*N137)</f>
        <v/>
      </c>
      <c r="L138" s="7" t="str">
        <f>IF(B138&gt;Trainingsdaten!$H$3,"",E138*I138+F138*J138+K138)</f>
        <v/>
      </c>
      <c r="M138" s="7" t="str">
        <f>IF(B138&gt;Trainingsdaten!$H$3,"",IF(L138&gt;0,1,0))</f>
        <v/>
      </c>
      <c r="N138" s="7" t="str">
        <f>IF(B138&gt;Trainingsdaten!$H$3,"",G138-M138)</f>
        <v/>
      </c>
    </row>
    <row r="139" spans="1:14" x14ac:dyDescent="0.25">
      <c r="A139" s="9" t="str">
        <f>IF($B139&gt;Trainingsdaten!$H$3,"",MOD(ROW()-4,Trainingsdaten!$H$4)+1)</f>
        <v/>
      </c>
      <c r="B139" s="11" t="str">
        <f>IF(INT((ROW()-4)/Trainingsdaten!$H$4)+1&gt;Trainingsdaten!$H$3,"",INT((ROW()-4)/Trainingsdaten!$H$4)+1)</f>
        <v/>
      </c>
      <c r="C139" s="9" t="str">
        <f>IF(INT((ROW()-4)/Trainingsdaten!$H$4)+1&gt;Trainingsdaten!$H$3,"",MOD(ROW()-4,Trainingsdaten!$H$4)+1)</f>
        <v/>
      </c>
      <c r="D139" s="9" t="str">
        <f>IF($B139&gt;Trainingsdaten!$H$3,"",INDEX(Trainingsdaten!B:B,$C139+1))</f>
        <v/>
      </c>
      <c r="E139" s="7" t="str">
        <f>IF($B139&gt;Trainingsdaten!$H$3,"",INDEX(Trainingsdaten!C:C,$C139+1))</f>
        <v/>
      </c>
      <c r="F139" s="7" t="str">
        <f>IF($B139&gt;Trainingsdaten!$H$3,"",INDEX(Trainingsdaten!D:D,$C139+1))</f>
        <v/>
      </c>
      <c r="G139" s="7" t="str">
        <f>IF($B139&gt;Trainingsdaten!$H$3,"",INDEX(Trainingsdaten!E:E,$C139+1))</f>
        <v/>
      </c>
      <c r="H139" s="11" t="str">
        <f>IF($B139&gt;Trainingsdaten!$H$3,"",Trainingsdaten!$H$2)</f>
        <v/>
      </c>
      <c r="I139" s="7" t="str">
        <f>IF(B139&gt;Trainingsdaten!$H$3,"",I138+H139*N138*E139)</f>
        <v/>
      </c>
      <c r="J139" s="7" t="str">
        <f>IF(B139&gt;Trainingsdaten!$H$3,"",J138+H139*N138*F139)</f>
        <v/>
      </c>
      <c r="K139" s="7" t="str">
        <f>IF(B139&gt;Trainingsdaten!$H$3,"",K138+H139*N138)</f>
        <v/>
      </c>
      <c r="L139" s="7" t="str">
        <f>IF(B139&gt;Trainingsdaten!$H$3,"",E139*I139+F139*J139+K139)</f>
        <v/>
      </c>
      <c r="M139" s="7" t="str">
        <f>IF(B139&gt;Trainingsdaten!$H$3,"",IF(L139&gt;0,1,0))</f>
        <v/>
      </c>
      <c r="N139" s="7" t="str">
        <f>IF(B139&gt;Trainingsdaten!$H$3,"",G139-M139)</f>
        <v/>
      </c>
    </row>
    <row r="140" spans="1:14" x14ac:dyDescent="0.25">
      <c r="A140" s="9" t="str">
        <f>IF($B140&gt;Trainingsdaten!$H$3,"",MOD(ROW()-4,Trainingsdaten!$H$4)+1)</f>
        <v/>
      </c>
      <c r="B140" s="11" t="str">
        <f>IF(INT((ROW()-4)/Trainingsdaten!$H$4)+1&gt;Trainingsdaten!$H$3,"",INT((ROW()-4)/Trainingsdaten!$H$4)+1)</f>
        <v/>
      </c>
      <c r="C140" s="9" t="str">
        <f>IF(INT((ROW()-4)/Trainingsdaten!$H$4)+1&gt;Trainingsdaten!$H$3,"",MOD(ROW()-4,Trainingsdaten!$H$4)+1)</f>
        <v/>
      </c>
      <c r="D140" s="9" t="str">
        <f>IF($B140&gt;Trainingsdaten!$H$3,"",INDEX(Trainingsdaten!B:B,$C140+1))</f>
        <v/>
      </c>
      <c r="E140" s="7" t="str">
        <f>IF($B140&gt;Trainingsdaten!$H$3,"",INDEX(Trainingsdaten!C:C,$C140+1))</f>
        <v/>
      </c>
      <c r="F140" s="7" t="str">
        <f>IF($B140&gt;Trainingsdaten!$H$3,"",INDEX(Trainingsdaten!D:D,$C140+1))</f>
        <v/>
      </c>
      <c r="G140" s="7" t="str">
        <f>IF($B140&gt;Trainingsdaten!$H$3,"",INDEX(Trainingsdaten!E:E,$C140+1))</f>
        <v/>
      </c>
      <c r="H140" s="11" t="str">
        <f>IF($B140&gt;Trainingsdaten!$H$3,"",Trainingsdaten!$H$2)</f>
        <v/>
      </c>
      <c r="I140" s="7" t="str">
        <f>IF(B140&gt;Trainingsdaten!$H$3,"",I139+H140*N139*E140)</f>
        <v/>
      </c>
      <c r="J140" s="7" t="str">
        <f>IF(B140&gt;Trainingsdaten!$H$3,"",J139+H140*N139*F140)</f>
        <v/>
      </c>
      <c r="K140" s="7" t="str">
        <f>IF(B140&gt;Trainingsdaten!$H$3,"",K139+H140*N139)</f>
        <v/>
      </c>
      <c r="L140" s="7" t="str">
        <f>IF(B140&gt;Trainingsdaten!$H$3,"",E140*I140+F140*J140+K140)</f>
        <v/>
      </c>
      <c r="M140" s="7" t="str">
        <f>IF(B140&gt;Trainingsdaten!$H$3,"",IF(L140&gt;0,1,0))</f>
        <v/>
      </c>
      <c r="N140" s="7" t="str">
        <f>IF(B140&gt;Trainingsdaten!$H$3,"",G140-M140)</f>
        <v/>
      </c>
    </row>
    <row r="141" spans="1:14" x14ac:dyDescent="0.25">
      <c r="A141" s="9" t="str">
        <f>IF($B141&gt;Trainingsdaten!$H$3,"",MOD(ROW()-4,Trainingsdaten!$H$4)+1)</f>
        <v/>
      </c>
      <c r="B141" s="11" t="str">
        <f>IF(INT((ROW()-4)/Trainingsdaten!$H$4)+1&gt;Trainingsdaten!$H$3,"",INT((ROW()-4)/Trainingsdaten!$H$4)+1)</f>
        <v/>
      </c>
      <c r="C141" s="9" t="str">
        <f>IF(INT((ROW()-4)/Trainingsdaten!$H$4)+1&gt;Trainingsdaten!$H$3,"",MOD(ROW()-4,Trainingsdaten!$H$4)+1)</f>
        <v/>
      </c>
      <c r="D141" s="9" t="str">
        <f>IF($B141&gt;Trainingsdaten!$H$3,"",INDEX(Trainingsdaten!B:B,$C141+1))</f>
        <v/>
      </c>
      <c r="E141" s="7" t="str">
        <f>IF($B141&gt;Trainingsdaten!$H$3,"",INDEX(Trainingsdaten!C:C,$C141+1))</f>
        <v/>
      </c>
      <c r="F141" s="7" t="str">
        <f>IF($B141&gt;Trainingsdaten!$H$3,"",INDEX(Trainingsdaten!D:D,$C141+1))</f>
        <v/>
      </c>
      <c r="G141" s="7" t="str">
        <f>IF($B141&gt;Trainingsdaten!$H$3,"",INDEX(Trainingsdaten!E:E,$C141+1))</f>
        <v/>
      </c>
      <c r="H141" s="11" t="str">
        <f>IF($B141&gt;Trainingsdaten!$H$3,"",Trainingsdaten!$H$2)</f>
        <v/>
      </c>
      <c r="I141" s="7" t="str">
        <f>IF(B141&gt;Trainingsdaten!$H$3,"",I140+H141*N140*E141)</f>
        <v/>
      </c>
      <c r="J141" s="7" t="str">
        <f>IF(B141&gt;Trainingsdaten!$H$3,"",J140+H141*N140*F141)</f>
        <v/>
      </c>
      <c r="K141" s="7" t="str">
        <f>IF(B141&gt;Trainingsdaten!$H$3,"",K140+H141*N140)</f>
        <v/>
      </c>
      <c r="L141" s="7" t="str">
        <f>IF(B141&gt;Trainingsdaten!$H$3,"",E141*I141+F141*J141+K141)</f>
        <v/>
      </c>
      <c r="M141" s="7" t="str">
        <f>IF(B141&gt;Trainingsdaten!$H$3,"",IF(L141&gt;0,1,0))</f>
        <v/>
      </c>
      <c r="N141" s="7" t="str">
        <f>IF(B141&gt;Trainingsdaten!$H$3,"",G141-M141)</f>
        <v/>
      </c>
    </row>
    <row r="142" spans="1:14" x14ac:dyDescent="0.25">
      <c r="A142" s="9" t="str">
        <f>IF($B142&gt;Trainingsdaten!$H$3,"",MOD(ROW()-4,Trainingsdaten!$H$4)+1)</f>
        <v/>
      </c>
      <c r="B142" s="11" t="str">
        <f>IF(INT((ROW()-4)/Trainingsdaten!$H$4)+1&gt;Trainingsdaten!$H$3,"",INT((ROW()-4)/Trainingsdaten!$H$4)+1)</f>
        <v/>
      </c>
      <c r="C142" s="9" t="str">
        <f>IF(INT((ROW()-4)/Trainingsdaten!$H$4)+1&gt;Trainingsdaten!$H$3,"",MOD(ROW()-4,Trainingsdaten!$H$4)+1)</f>
        <v/>
      </c>
      <c r="D142" s="9" t="str">
        <f>IF($B142&gt;Trainingsdaten!$H$3,"",INDEX(Trainingsdaten!B:B,$C142+1))</f>
        <v/>
      </c>
      <c r="E142" s="7" t="str">
        <f>IF($B142&gt;Trainingsdaten!$H$3,"",INDEX(Trainingsdaten!C:C,$C142+1))</f>
        <v/>
      </c>
      <c r="F142" s="7" t="str">
        <f>IF($B142&gt;Trainingsdaten!$H$3,"",INDEX(Trainingsdaten!D:D,$C142+1))</f>
        <v/>
      </c>
      <c r="G142" s="7" t="str">
        <f>IF($B142&gt;Trainingsdaten!$H$3,"",INDEX(Trainingsdaten!E:E,$C142+1))</f>
        <v/>
      </c>
      <c r="H142" s="11" t="str">
        <f>IF($B142&gt;Trainingsdaten!$H$3,"",Trainingsdaten!$H$2)</f>
        <v/>
      </c>
      <c r="I142" s="7" t="str">
        <f>IF(B142&gt;Trainingsdaten!$H$3,"",I141+H142*N141*E142)</f>
        <v/>
      </c>
      <c r="J142" s="7" t="str">
        <f>IF(B142&gt;Trainingsdaten!$H$3,"",J141+H142*N141*F142)</f>
        <v/>
      </c>
      <c r="K142" s="7" t="str">
        <f>IF(B142&gt;Trainingsdaten!$H$3,"",K141+H142*N141)</f>
        <v/>
      </c>
      <c r="L142" s="7" t="str">
        <f>IF(B142&gt;Trainingsdaten!$H$3,"",E142*I142+F142*J142+K142)</f>
        <v/>
      </c>
      <c r="M142" s="7" t="str">
        <f>IF(B142&gt;Trainingsdaten!$H$3,"",IF(L142&gt;0,1,0))</f>
        <v/>
      </c>
      <c r="N142" s="7" t="str">
        <f>IF(B142&gt;Trainingsdaten!$H$3,"",G142-M142)</f>
        <v/>
      </c>
    </row>
    <row r="143" spans="1:14" x14ac:dyDescent="0.25">
      <c r="A143" s="9" t="str">
        <f>IF($B143&gt;Trainingsdaten!$H$3,"",MOD(ROW()-4,Trainingsdaten!$H$4)+1)</f>
        <v/>
      </c>
      <c r="B143" s="11" t="str">
        <f>IF(INT((ROW()-4)/Trainingsdaten!$H$4)+1&gt;Trainingsdaten!$H$3,"",INT((ROW()-4)/Trainingsdaten!$H$4)+1)</f>
        <v/>
      </c>
      <c r="C143" s="9" t="str">
        <f>IF(INT((ROW()-4)/Trainingsdaten!$H$4)+1&gt;Trainingsdaten!$H$3,"",MOD(ROW()-4,Trainingsdaten!$H$4)+1)</f>
        <v/>
      </c>
      <c r="D143" s="9" t="str">
        <f>IF($B143&gt;Trainingsdaten!$H$3,"",INDEX(Trainingsdaten!B:B,$C143+1))</f>
        <v/>
      </c>
      <c r="E143" s="7" t="str">
        <f>IF($B143&gt;Trainingsdaten!$H$3,"",INDEX(Trainingsdaten!C:C,$C143+1))</f>
        <v/>
      </c>
      <c r="F143" s="7" t="str">
        <f>IF($B143&gt;Trainingsdaten!$H$3,"",INDEX(Trainingsdaten!D:D,$C143+1))</f>
        <v/>
      </c>
      <c r="G143" s="7" t="str">
        <f>IF($B143&gt;Trainingsdaten!$H$3,"",INDEX(Trainingsdaten!E:E,$C143+1))</f>
        <v/>
      </c>
      <c r="H143" s="11" t="str">
        <f>IF($B143&gt;Trainingsdaten!$H$3,"",Trainingsdaten!$H$2)</f>
        <v/>
      </c>
      <c r="I143" s="7" t="str">
        <f>IF(B143&gt;Trainingsdaten!$H$3,"",I142+H143*N142*E143)</f>
        <v/>
      </c>
      <c r="J143" s="7" t="str">
        <f>IF(B143&gt;Trainingsdaten!$H$3,"",J142+H143*N142*F143)</f>
        <v/>
      </c>
      <c r="K143" s="7" t="str">
        <f>IF(B143&gt;Trainingsdaten!$H$3,"",K142+H143*N142)</f>
        <v/>
      </c>
      <c r="L143" s="7" t="str">
        <f>IF(B143&gt;Trainingsdaten!$H$3,"",E143*I143+F143*J143+K143)</f>
        <v/>
      </c>
      <c r="M143" s="7" t="str">
        <f>IF(B143&gt;Trainingsdaten!$H$3,"",IF(L143&gt;0,1,0))</f>
        <v/>
      </c>
      <c r="N143" s="7" t="str">
        <f>IF(B143&gt;Trainingsdaten!$H$3,"",G143-M143)</f>
        <v/>
      </c>
    </row>
    <row r="144" spans="1:14" x14ac:dyDescent="0.25">
      <c r="A144" s="9" t="str">
        <f>IF($B144&gt;Trainingsdaten!$H$3,"",MOD(ROW()-4,Trainingsdaten!$H$4)+1)</f>
        <v/>
      </c>
      <c r="B144" s="11" t="str">
        <f>IF(INT((ROW()-4)/Trainingsdaten!$H$4)+1&gt;Trainingsdaten!$H$3,"",INT((ROW()-4)/Trainingsdaten!$H$4)+1)</f>
        <v/>
      </c>
      <c r="C144" s="9" t="str">
        <f>IF(INT((ROW()-4)/Trainingsdaten!$H$4)+1&gt;Trainingsdaten!$H$3,"",MOD(ROW()-4,Trainingsdaten!$H$4)+1)</f>
        <v/>
      </c>
      <c r="D144" s="9" t="str">
        <f>IF($B144&gt;Trainingsdaten!$H$3,"",INDEX(Trainingsdaten!B:B,$C144+1))</f>
        <v/>
      </c>
      <c r="E144" s="7" t="str">
        <f>IF($B144&gt;Trainingsdaten!$H$3,"",INDEX(Trainingsdaten!C:C,$C144+1))</f>
        <v/>
      </c>
      <c r="F144" s="7" t="str">
        <f>IF($B144&gt;Trainingsdaten!$H$3,"",INDEX(Trainingsdaten!D:D,$C144+1))</f>
        <v/>
      </c>
      <c r="G144" s="7" t="str">
        <f>IF($B144&gt;Trainingsdaten!$H$3,"",INDEX(Trainingsdaten!E:E,$C144+1))</f>
        <v/>
      </c>
      <c r="H144" s="11" t="str">
        <f>IF($B144&gt;Trainingsdaten!$H$3,"",Trainingsdaten!$H$2)</f>
        <v/>
      </c>
      <c r="I144" s="7" t="str">
        <f>IF(B144&gt;Trainingsdaten!$H$3,"",I143+H144*N143*E144)</f>
        <v/>
      </c>
      <c r="J144" s="7" t="str">
        <f>IF(B144&gt;Trainingsdaten!$H$3,"",J143+H144*N143*F144)</f>
        <v/>
      </c>
      <c r="K144" s="7" t="str">
        <f>IF(B144&gt;Trainingsdaten!$H$3,"",K143+H144*N143)</f>
        <v/>
      </c>
      <c r="L144" s="7" t="str">
        <f>IF(B144&gt;Trainingsdaten!$H$3,"",E144*I144+F144*J144+K144)</f>
        <v/>
      </c>
      <c r="M144" s="7" t="str">
        <f>IF(B144&gt;Trainingsdaten!$H$3,"",IF(L144&gt;0,1,0))</f>
        <v/>
      </c>
      <c r="N144" s="7" t="str">
        <f>IF(B144&gt;Trainingsdaten!$H$3,"",G144-M144)</f>
        <v/>
      </c>
    </row>
    <row r="145" spans="1:14" x14ac:dyDescent="0.25">
      <c r="A145" s="9" t="str">
        <f>IF($B145&gt;Trainingsdaten!$H$3,"",MOD(ROW()-4,Trainingsdaten!$H$4)+1)</f>
        <v/>
      </c>
      <c r="B145" s="11" t="str">
        <f>IF(INT((ROW()-4)/Trainingsdaten!$H$4)+1&gt;Trainingsdaten!$H$3,"",INT((ROW()-4)/Trainingsdaten!$H$4)+1)</f>
        <v/>
      </c>
      <c r="C145" s="9" t="str">
        <f>IF(INT((ROW()-4)/Trainingsdaten!$H$4)+1&gt;Trainingsdaten!$H$3,"",MOD(ROW()-4,Trainingsdaten!$H$4)+1)</f>
        <v/>
      </c>
      <c r="D145" s="9" t="str">
        <f>IF($B145&gt;Trainingsdaten!$H$3,"",INDEX(Trainingsdaten!B:B,$C145+1))</f>
        <v/>
      </c>
      <c r="E145" s="7" t="str">
        <f>IF($B145&gt;Trainingsdaten!$H$3,"",INDEX(Trainingsdaten!C:C,$C145+1))</f>
        <v/>
      </c>
      <c r="F145" s="7" t="str">
        <f>IF($B145&gt;Trainingsdaten!$H$3,"",INDEX(Trainingsdaten!D:D,$C145+1))</f>
        <v/>
      </c>
      <c r="G145" s="7" t="str">
        <f>IF($B145&gt;Trainingsdaten!$H$3,"",INDEX(Trainingsdaten!E:E,$C145+1))</f>
        <v/>
      </c>
      <c r="H145" s="11" t="str">
        <f>IF($B145&gt;Trainingsdaten!$H$3,"",Trainingsdaten!$H$2)</f>
        <v/>
      </c>
      <c r="I145" s="7" t="str">
        <f>IF(B145&gt;Trainingsdaten!$H$3,"",I144+H145*N144*E145)</f>
        <v/>
      </c>
      <c r="J145" s="7" t="str">
        <f>IF(B145&gt;Trainingsdaten!$H$3,"",J144+H145*N144*F145)</f>
        <v/>
      </c>
      <c r="K145" s="7" t="str">
        <f>IF(B145&gt;Trainingsdaten!$H$3,"",K144+H145*N144)</f>
        <v/>
      </c>
      <c r="L145" s="7" t="str">
        <f>IF(B145&gt;Trainingsdaten!$H$3,"",E145*I145+F145*J145+K145)</f>
        <v/>
      </c>
      <c r="M145" s="7" t="str">
        <f>IF(B145&gt;Trainingsdaten!$H$3,"",IF(L145&gt;0,1,0))</f>
        <v/>
      </c>
      <c r="N145" s="7" t="str">
        <f>IF(B145&gt;Trainingsdaten!$H$3,"",G145-M145)</f>
        <v/>
      </c>
    </row>
    <row r="146" spans="1:14" x14ac:dyDescent="0.25">
      <c r="A146" s="9" t="str">
        <f>IF($B146&gt;Trainingsdaten!$H$3,"",MOD(ROW()-4,Trainingsdaten!$H$4)+1)</f>
        <v/>
      </c>
      <c r="B146" s="11" t="str">
        <f>IF(INT((ROW()-4)/Trainingsdaten!$H$4)+1&gt;Trainingsdaten!$H$3,"",INT((ROW()-4)/Trainingsdaten!$H$4)+1)</f>
        <v/>
      </c>
      <c r="C146" s="9" t="str">
        <f>IF(INT((ROW()-4)/Trainingsdaten!$H$4)+1&gt;Trainingsdaten!$H$3,"",MOD(ROW()-4,Trainingsdaten!$H$4)+1)</f>
        <v/>
      </c>
      <c r="D146" s="9" t="str">
        <f>IF($B146&gt;Trainingsdaten!$H$3,"",INDEX(Trainingsdaten!B:B,$C146+1))</f>
        <v/>
      </c>
      <c r="E146" s="7" t="str">
        <f>IF($B146&gt;Trainingsdaten!$H$3,"",INDEX(Trainingsdaten!C:C,$C146+1))</f>
        <v/>
      </c>
      <c r="F146" s="7" t="str">
        <f>IF($B146&gt;Trainingsdaten!$H$3,"",INDEX(Trainingsdaten!D:D,$C146+1))</f>
        <v/>
      </c>
      <c r="G146" s="7" t="str">
        <f>IF($B146&gt;Trainingsdaten!$H$3,"",INDEX(Trainingsdaten!E:E,$C146+1))</f>
        <v/>
      </c>
      <c r="H146" s="11" t="str">
        <f>IF($B146&gt;Trainingsdaten!$H$3,"",Trainingsdaten!$H$2)</f>
        <v/>
      </c>
      <c r="I146" s="7" t="str">
        <f>IF(B146&gt;Trainingsdaten!$H$3,"",I145+H146*N145*E146)</f>
        <v/>
      </c>
      <c r="J146" s="7" t="str">
        <f>IF(B146&gt;Trainingsdaten!$H$3,"",J145+H146*N145*F146)</f>
        <v/>
      </c>
      <c r="K146" s="7" t="str">
        <f>IF(B146&gt;Trainingsdaten!$H$3,"",K145+H146*N145)</f>
        <v/>
      </c>
      <c r="L146" s="7" t="str">
        <f>IF(B146&gt;Trainingsdaten!$H$3,"",E146*I146+F146*J146+K146)</f>
        <v/>
      </c>
      <c r="M146" s="7" t="str">
        <f>IF(B146&gt;Trainingsdaten!$H$3,"",IF(L146&gt;0,1,0))</f>
        <v/>
      </c>
      <c r="N146" s="7" t="str">
        <f>IF(B146&gt;Trainingsdaten!$H$3,"",G146-M146)</f>
        <v/>
      </c>
    </row>
    <row r="147" spans="1:14" x14ac:dyDescent="0.25">
      <c r="A147" s="9" t="str">
        <f>IF($B147&gt;Trainingsdaten!$H$3,"",MOD(ROW()-4,Trainingsdaten!$H$4)+1)</f>
        <v/>
      </c>
      <c r="B147" s="11" t="str">
        <f>IF(INT((ROW()-4)/Trainingsdaten!$H$4)+1&gt;Trainingsdaten!$H$3,"",INT((ROW()-4)/Trainingsdaten!$H$4)+1)</f>
        <v/>
      </c>
      <c r="C147" s="9" t="str">
        <f>IF(INT((ROW()-4)/Trainingsdaten!$H$4)+1&gt;Trainingsdaten!$H$3,"",MOD(ROW()-4,Trainingsdaten!$H$4)+1)</f>
        <v/>
      </c>
      <c r="D147" s="9" t="str">
        <f>IF($B147&gt;Trainingsdaten!$H$3,"",INDEX(Trainingsdaten!B:B,$C147+1))</f>
        <v/>
      </c>
      <c r="E147" s="7" t="str">
        <f>IF($B147&gt;Trainingsdaten!$H$3,"",INDEX(Trainingsdaten!C:C,$C147+1))</f>
        <v/>
      </c>
      <c r="F147" s="7" t="str">
        <f>IF($B147&gt;Trainingsdaten!$H$3,"",INDEX(Trainingsdaten!D:D,$C147+1))</f>
        <v/>
      </c>
      <c r="G147" s="7" t="str">
        <f>IF($B147&gt;Trainingsdaten!$H$3,"",INDEX(Trainingsdaten!E:E,$C147+1))</f>
        <v/>
      </c>
      <c r="H147" s="11" t="str">
        <f>IF($B147&gt;Trainingsdaten!$H$3,"",Trainingsdaten!$H$2)</f>
        <v/>
      </c>
      <c r="I147" s="7" t="str">
        <f>IF(B147&gt;Trainingsdaten!$H$3,"",I146+H147*N146*E147)</f>
        <v/>
      </c>
      <c r="J147" s="7" t="str">
        <f>IF(B147&gt;Trainingsdaten!$H$3,"",J146+H147*N146*F147)</f>
        <v/>
      </c>
      <c r="K147" s="7" t="str">
        <f>IF(B147&gt;Trainingsdaten!$H$3,"",K146+H147*N146)</f>
        <v/>
      </c>
      <c r="L147" s="7" t="str">
        <f>IF(B147&gt;Trainingsdaten!$H$3,"",E147*I147+F147*J147+K147)</f>
        <v/>
      </c>
      <c r="M147" s="7" t="str">
        <f>IF(B147&gt;Trainingsdaten!$H$3,"",IF(L147&gt;0,1,0))</f>
        <v/>
      </c>
      <c r="N147" s="7" t="str">
        <f>IF(B147&gt;Trainingsdaten!$H$3,"",G147-M147)</f>
        <v/>
      </c>
    </row>
    <row r="148" spans="1:14" x14ac:dyDescent="0.25">
      <c r="A148" s="9" t="str">
        <f>IF($B148&gt;Trainingsdaten!$H$3,"",MOD(ROW()-4,Trainingsdaten!$H$4)+1)</f>
        <v/>
      </c>
      <c r="B148" s="11" t="str">
        <f>IF(INT((ROW()-4)/Trainingsdaten!$H$4)+1&gt;Trainingsdaten!$H$3,"",INT((ROW()-4)/Trainingsdaten!$H$4)+1)</f>
        <v/>
      </c>
      <c r="C148" s="9" t="str">
        <f>IF(INT((ROW()-4)/Trainingsdaten!$H$4)+1&gt;Trainingsdaten!$H$3,"",MOD(ROW()-4,Trainingsdaten!$H$4)+1)</f>
        <v/>
      </c>
      <c r="D148" s="9" t="str">
        <f>IF($B148&gt;Trainingsdaten!$H$3,"",INDEX(Trainingsdaten!B:B,$C148+1))</f>
        <v/>
      </c>
      <c r="E148" s="7" t="str">
        <f>IF($B148&gt;Trainingsdaten!$H$3,"",INDEX(Trainingsdaten!C:C,$C148+1))</f>
        <v/>
      </c>
      <c r="F148" s="7" t="str">
        <f>IF($B148&gt;Trainingsdaten!$H$3,"",INDEX(Trainingsdaten!D:D,$C148+1))</f>
        <v/>
      </c>
      <c r="G148" s="7" t="str">
        <f>IF($B148&gt;Trainingsdaten!$H$3,"",INDEX(Trainingsdaten!E:E,$C148+1))</f>
        <v/>
      </c>
      <c r="H148" s="11" t="str">
        <f>IF($B148&gt;Trainingsdaten!$H$3,"",Trainingsdaten!$H$2)</f>
        <v/>
      </c>
      <c r="I148" s="7" t="str">
        <f>IF(B148&gt;Trainingsdaten!$H$3,"",I147+H148*N147*E148)</f>
        <v/>
      </c>
      <c r="J148" s="7" t="str">
        <f>IF(B148&gt;Trainingsdaten!$H$3,"",J147+H148*N147*F148)</f>
        <v/>
      </c>
      <c r="K148" s="7" t="str">
        <f>IF(B148&gt;Trainingsdaten!$H$3,"",K147+H148*N147)</f>
        <v/>
      </c>
      <c r="L148" s="7" t="str">
        <f>IF(B148&gt;Trainingsdaten!$H$3,"",E148*I148+F148*J148+K148)</f>
        <v/>
      </c>
      <c r="M148" s="7" t="str">
        <f>IF(B148&gt;Trainingsdaten!$H$3,"",IF(L148&gt;0,1,0))</f>
        <v/>
      </c>
      <c r="N148" s="7" t="str">
        <f>IF(B148&gt;Trainingsdaten!$H$3,"",G148-M148)</f>
        <v/>
      </c>
    </row>
    <row r="149" spans="1:14" x14ac:dyDescent="0.25">
      <c r="A149" s="9" t="str">
        <f>IF($B149&gt;Trainingsdaten!$H$3,"",MOD(ROW()-4,Trainingsdaten!$H$4)+1)</f>
        <v/>
      </c>
      <c r="B149" s="11" t="str">
        <f>IF(INT((ROW()-4)/Trainingsdaten!$H$4)+1&gt;Trainingsdaten!$H$3,"",INT((ROW()-4)/Trainingsdaten!$H$4)+1)</f>
        <v/>
      </c>
      <c r="C149" s="9" t="str">
        <f>IF(INT((ROW()-4)/Trainingsdaten!$H$4)+1&gt;Trainingsdaten!$H$3,"",MOD(ROW()-4,Trainingsdaten!$H$4)+1)</f>
        <v/>
      </c>
      <c r="D149" s="9" t="str">
        <f>IF($B149&gt;Trainingsdaten!$H$3,"",INDEX(Trainingsdaten!B:B,$C149+1))</f>
        <v/>
      </c>
      <c r="E149" s="7" t="str">
        <f>IF($B149&gt;Trainingsdaten!$H$3,"",INDEX(Trainingsdaten!C:C,$C149+1))</f>
        <v/>
      </c>
      <c r="F149" s="7" t="str">
        <f>IF($B149&gt;Trainingsdaten!$H$3,"",INDEX(Trainingsdaten!D:D,$C149+1))</f>
        <v/>
      </c>
      <c r="G149" s="7" t="str">
        <f>IF($B149&gt;Trainingsdaten!$H$3,"",INDEX(Trainingsdaten!E:E,$C149+1))</f>
        <v/>
      </c>
      <c r="H149" s="11" t="str">
        <f>IF($B149&gt;Trainingsdaten!$H$3,"",Trainingsdaten!$H$2)</f>
        <v/>
      </c>
      <c r="I149" s="7" t="str">
        <f>IF(B149&gt;Trainingsdaten!$H$3,"",I148+H149*N148*E149)</f>
        <v/>
      </c>
      <c r="J149" s="7" t="str">
        <f>IF(B149&gt;Trainingsdaten!$H$3,"",J148+H149*N148*F149)</f>
        <v/>
      </c>
      <c r="K149" s="7" t="str">
        <f>IF(B149&gt;Trainingsdaten!$H$3,"",K148+H149*N148)</f>
        <v/>
      </c>
      <c r="L149" s="7" t="str">
        <f>IF(B149&gt;Trainingsdaten!$H$3,"",E149*I149+F149*J149+K149)</f>
        <v/>
      </c>
      <c r="M149" s="7" t="str">
        <f>IF(B149&gt;Trainingsdaten!$H$3,"",IF(L149&gt;0,1,0))</f>
        <v/>
      </c>
      <c r="N149" s="7" t="str">
        <f>IF(B149&gt;Trainingsdaten!$H$3,"",G149-M149)</f>
        <v/>
      </c>
    </row>
    <row r="150" spans="1:14" x14ac:dyDescent="0.25">
      <c r="A150" s="9" t="str">
        <f>IF($B150&gt;Trainingsdaten!$H$3,"",MOD(ROW()-4,Trainingsdaten!$H$4)+1)</f>
        <v/>
      </c>
      <c r="B150" s="11" t="str">
        <f>IF(INT((ROW()-4)/Trainingsdaten!$H$4)+1&gt;Trainingsdaten!$H$3,"",INT((ROW()-4)/Trainingsdaten!$H$4)+1)</f>
        <v/>
      </c>
      <c r="C150" s="9" t="str">
        <f>IF(INT((ROW()-4)/Trainingsdaten!$H$4)+1&gt;Trainingsdaten!$H$3,"",MOD(ROW()-4,Trainingsdaten!$H$4)+1)</f>
        <v/>
      </c>
      <c r="D150" s="9" t="str">
        <f>IF($B150&gt;Trainingsdaten!$H$3,"",INDEX(Trainingsdaten!B:B,$C150+1))</f>
        <v/>
      </c>
      <c r="E150" s="7" t="str">
        <f>IF($B150&gt;Trainingsdaten!$H$3,"",INDEX(Trainingsdaten!C:C,$C150+1))</f>
        <v/>
      </c>
      <c r="F150" s="7" t="str">
        <f>IF($B150&gt;Trainingsdaten!$H$3,"",INDEX(Trainingsdaten!D:D,$C150+1))</f>
        <v/>
      </c>
      <c r="G150" s="7" t="str">
        <f>IF($B150&gt;Trainingsdaten!$H$3,"",INDEX(Trainingsdaten!E:E,$C150+1))</f>
        <v/>
      </c>
      <c r="H150" s="11" t="str">
        <f>IF($B150&gt;Trainingsdaten!$H$3,"",Trainingsdaten!$H$2)</f>
        <v/>
      </c>
      <c r="I150" s="7" t="str">
        <f>IF(B150&gt;Trainingsdaten!$H$3,"",I149+H150*N149*E150)</f>
        <v/>
      </c>
      <c r="J150" s="7" t="str">
        <f>IF(B150&gt;Trainingsdaten!$H$3,"",J149+H150*N149*F150)</f>
        <v/>
      </c>
      <c r="K150" s="7" t="str">
        <f>IF(B150&gt;Trainingsdaten!$H$3,"",K149+H150*N149)</f>
        <v/>
      </c>
      <c r="L150" s="7" t="str">
        <f>IF(B150&gt;Trainingsdaten!$H$3,"",E150*I150+F150*J150+K150)</f>
        <v/>
      </c>
      <c r="M150" s="7" t="str">
        <f>IF(B150&gt;Trainingsdaten!$H$3,"",IF(L150&gt;0,1,0))</f>
        <v/>
      </c>
      <c r="N150" s="7" t="str">
        <f>IF(B150&gt;Trainingsdaten!$H$3,"",G150-M150)</f>
        <v/>
      </c>
    </row>
    <row r="151" spans="1:14" x14ac:dyDescent="0.25">
      <c r="A151" s="9" t="str">
        <f>IF($B151&gt;Trainingsdaten!$H$3,"",MOD(ROW()-4,Trainingsdaten!$H$4)+1)</f>
        <v/>
      </c>
      <c r="B151" s="11" t="str">
        <f>IF(INT((ROW()-4)/Trainingsdaten!$H$4)+1&gt;Trainingsdaten!$H$3,"",INT((ROW()-4)/Trainingsdaten!$H$4)+1)</f>
        <v/>
      </c>
      <c r="C151" s="9" t="str">
        <f>IF(INT((ROW()-4)/Trainingsdaten!$H$4)+1&gt;Trainingsdaten!$H$3,"",MOD(ROW()-4,Trainingsdaten!$H$4)+1)</f>
        <v/>
      </c>
      <c r="D151" s="9" t="str">
        <f>IF($B151&gt;Trainingsdaten!$H$3,"",INDEX(Trainingsdaten!B:B,$C151+1))</f>
        <v/>
      </c>
      <c r="E151" s="7" t="str">
        <f>IF($B151&gt;Trainingsdaten!$H$3,"",INDEX(Trainingsdaten!C:C,$C151+1))</f>
        <v/>
      </c>
      <c r="F151" s="7" t="str">
        <f>IF($B151&gt;Trainingsdaten!$H$3,"",INDEX(Trainingsdaten!D:D,$C151+1))</f>
        <v/>
      </c>
      <c r="G151" s="7" t="str">
        <f>IF($B151&gt;Trainingsdaten!$H$3,"",INDEX(Trainingsdaten!E:E,$C151+1))</f>
        <v/>
      </c>
      <c r="H151" s="11" t="str">
        <f>IF($B151&gt;Trainingsdaten!$H$3,"",Trainingsdaten!$H$2)</f>
        <v/>
      </c>
      <c r="I151" s="7" t="str">
        <f>IF(B151&gt;Trainingsdaten!$H$3,"",I150+H151*N150*E151)</f>
        <v/>
      </c>
      <c r="J151" s="7" t="str">
        <f>IF(B151&gt;Trainingsdaten!$H$3,"",J150+H151*N150*F151)</f>
        <v/>
      </c>
      <c r="K151" s="7" t="str">
        <f>IF(B151&gt;Trainingsdaten!$H$3,"",K150+H151*N150)</f>
        <v/>
      </c>
      <c r="L151" s="7" t="str">
        <f>IF(B151&gt;Trainingsdaten!$H$3,"",E151*I151+F151*J151+K151)</f>
        <v/>
      </c>
      <c r="M151" s="7" t="str">
        <f>IF(B151&gt;Trainingsdaten!$H$3,"",IF(L151&gt;0,1,0))</f>
        <v/>
      </c>
      <c r="N151" s="7" t="str">
        <f>IF(B151&gt;Trainingsdaten!$H$3,"",G151-M151)</f>
        <v/>
      </c>
    </row>
    <row r="152" spans="1:14" x14ac:dyDescent="0.25">
      <c r="A152" s="9" t="str">
        <f>IF($B152&gt;Trainingsdaten!$H$3,"",MOD(ROW()-4,Trainingsdaten!$H$4)+1)</f>
        <v/>
      </c>
      <c r="B152" s="11" t="str">
        <f>IF(INT((ROW()-4)/Trainingsdaten!$H$4)+1&gt;Trainingsdaten!$H$3,"",INT((ROW()-4)/Trainingsdaten!$H$4)+1)</f>
        <v/>
      </c>
      <c r="C152" s="9" t="str">
        <f>IF(INT((ROW()-4)/Trainingsdaten!$H$4)+1&gt;Trainingsdaten!$H$3,"",MOD(ROW()-4,Trainingsdaten!$H$4)+1)</f>
        <v/>
      </c>
      <c r="D152" s="9" t="str">
        <f>IF($B152&gt;Trainingsdaten!$H$3,"",INDEX(Trainingsdaten!B:B,$C152+1))</f>
        <v/>
      </c>
      <c r="E152" s="7" t="str">
        <f>IF($B152&gt;Trainingsdaten!$H$3,"",INDEX(Trainingsdaten!C:C,$C152+1))</f>
        <v/>
      </c>
      <c r="F152" s="7" t="str">
        <f>IF($B152&gt;Trainingsdaten!$H$3,"",INDEX(Trainingsdaten!D:D,$C152+1))</f>
        <v/>
      </c>
      <c r="G152" s="7" t="str">
        <f>IF($B152&gt;Trainingsdaten!$H$3,"",INDEX(Trainingsdaten!E:E,$C152+1))</f>
        <v/>
      </c>
      <c r="H152" s="11" t="str">
        <f>IF($B152&gt;Trainingsdaten!$H$3,"",Trainingsdaten!$H$2)</f>
        <v/>
      </c>
      <c r="I152" s="7" t="str">
        <f>IF(B152&gt;Trainingsdaten!$H$3,"",I151+H152*N151*E152)</f>
        <v/>
      </c>
      <c r="J152" s="7" t="str">
        <f>IF(B152&gt;Trainingsdaten!$H$3,"",J151+H152*N151*F152)</f>
        <v/>
      </c>
      <c r="K152" s="7" t="str">
        <f>IF(B152&gt;Trainingsdaten!$H$3,"",K151+H152*N151)</f>
        <v/>
      </c>
      <c r="L152" s="7" t="str">
        <f>IF(B152&gt;Trainingsdaten!$H$3,"",E152*I152+F152*J152+K152)</f>
        <v/>
      </c>
      <c r="M152" s="7" t="str">
        <f>IF(B152&gt;Trainingsdaten!$H$3,"",IF(L152&gt;0,1,0))</f>
        <v/>
      </c>
      <c r="N152" s="7" t="str">
        <f>IF(B152&gt;Trainingsdaten!$H$3,"",G152-M152)</f>
        <v/>
      </c>
    </row>
    <row r="153" spans="1:14" x14ac:dyDescent="0.25">
      <c r="A153" s="9" t="str">
        <f>IF($B153&gt;Trainingsdaten!$H$3,"",MOD(ROW()-4,Trainingsdaten!$H$4)+1)</f>
        <v/>
      </c>
      <c r="B153" s="11" t="str">
        <f>IF(INT((ROW()-4)/Trainingsdaten!$H$4)+1&gt;Trainingsdaten!$H$3,"",INT((ROW()-4)/Trainingsdaten!$H$4)+1)</f>
        <v/>
      </c>
      <c r="C153" s="9" t="str">
        <f>IF(INT((ROW()-4)/Trainingsdaten!$H$4)+1&gt;Trainingsdaten!$H$3,"",MOD(ROW()-4,Trainingsdaten!$H$4)+1)</f>
        <v/>
      </c>
      <c r="D153" s="9" t="str">
        <f>IF($B153&gt;Trainingsdaten!$H$3,"",INDEX(Trainingsdaten!B:B,$C153+1))</f>
        <v/>
      </c>
      <c r="E153" s="7" t="str">
        <f>IF($B153&gt;Trainingsdaten!$H$3,"",INDEX(Trainingsdaten!C:C,$C153+1))</f>
        <v/>
      </c>
      <c r="F153" s="7" t="str">
        <f>IF($B153&gt;Trainingsdaten!$H$3,"",INDEX(Trainingsdaten!D:D,$C153+1))</f>
        <v/>
      </c>
      <c r="G153" s="7" t="str">
        <f>IF($B153&gt;Trainingsdaten!$H$3,"",INDEX(Trainingsdaten!E:E,$C153+1))</f>
        <v/>
      </c>
      <c r="H153" s="11" t="str">
        <f>IF($B153&gt;Trainingsdaten!$H$3,"",Trainingsdaten!$H$2)</f>
        <v/>
      </c>
      <c r="I153" s="7" t="str">
        <f>IF(B153&gt;Trainingsdaten!$H$3,"",I152+H153*N152*E153)</f>
        <v/>
      </c>
      <c r="J153" s="7" t="str">
        <f>IF(B153&gt;Trainingsdaten!$H$3,"",J152+H153*N152*F153)</f>
        <v/>
      </c>
      <c r="K153" s="7" t="str">
        <f>IF(B153&gt;Trainingsdaten!$H$3,"",K152+H153*N152)</f>
        <v/>
      </c>
      <c r="L153" s="7" t="str">
        <f>IF(B153&gt;Trainingsdaten!$H$3,"",E153*I153+F153*J153+K153)</f>
        <v/>
      </c>
      <c r="M153" s="7" t="str">
        <f>IF(B153&gt;Trainingsdaten!$H$3,"",IF(L153&gt;0,1,0))</f>
        <v/>
      </c>
      <c r="N153" s="7" t="str">
        <f>IF(B153&gt;Trainingsdaten!$H$3,"",G153-M153)</f>
        <v/>
      </c>
    </row>
    <row r="154" spans="1:14" x14ac:dyDescent="0.25">
      <c r="A154" s="9" t="str">
        <f>IF($B154&gt;Trainingsdaten!$H$3,"",MOD(ROW()-4,Trainingsdaten!$H$4)+1)</f>
        <v/>
      </c>
      <c r="B154" s="11" t="str">
        <f>IF(INT((ROW()-4)/Trainingsdaten!$H$4)+1&gt;Trainingsdaten!$H$3,"",INT((ROW()-4)/Trainingsdaten!$H$4)+1)</f>
        <v/>
      </c>
      <c r="C154" s="9" t="str">
        <f>IF(INT((ROW()-4)/Trainingsdaten!$H$4)+1&gt;Trainingsdaten!$H$3,"",MOD(ROW()-4,Trainingsdaten!$H$4)+1)</f>
        <v/>
      </c>
      <c r="D154" s="9" t="str">
        <f>IF($B154&gt;Trainingsdaten!$H$3,"",INDEX(Trainingsdaten!B:B,$C154+1))</f>
        <v/>
      </c>
      <c r="E154" s="7" t="str">
        <f>IF($B154&gt;Trainingsdaten!$H$3,"",INDEX(Trainingsdaten!C:C,$C154+1))</f>
        <v/>
      </c>
      <c r="F154" s="7" t="str">
        <f>IF($B154&gt;Trainingsdaten!$H$3,"",INDEX(Trainingsdaten!D:D,$C154+1))</f>
        <v/>
      </c>
      <c r="G154" s="7" t="str">
        <f>IF($B154&gt;Trainingsdaten!$H$3,"",INDEX(Trainingsdaten!E:E,$C154+1))</f>
        <v/>
      </c>
      <c r="H154" s="11" t="str">
        <f>IF($B154&gt;Trainingsdaten!$H$3,"",Trainingsdaten!$H$2)</f>
        <v/>
      </c>
      <c r="I154" s="7" t="str">
        <f>IF(B154&gt;Trainingsdaten!$H$3,"",I153+H154*N153*E154)</f>
        <v/>
      </c>
      <c r="J154" s="7" t="str">
        <f>IF(B154&gt;Trainingsdaten!$H$3,"",J153+H154*N153*F154)</f>
        <v/>
      </c>
      <c r="K154" s="7" t="str">
        <f>IF(B154&gt;Trainingsdaten!$H$3,"",K153+H154*N153)</f>
        <v/>
      </c>
      <c r="L154" s="7" t="str">
        <f>IF(B154&gt;Trainingsdaten!$H$3,"",E154*I154+F154*J154+K154)</f>
        <v/>
      </c>
      <c r="M154" s="7" t="str">
        <f>IF(B154&gt;Trainingsdaten!$H$3,"",IF(L154&gt;0,1,0))</f>
        <v/>
      </c>
      <c r="N154" s="7" t="str">
        <f>IF(B154&gt;Trainingsdaten!$H$3,"",G154-M154)</f>
        <v/>
      </c>
    </row>
    <row r="155" spans="1:14" x14ac:dyDescent="0.25">
      <c r="A155" s="9" t="str">
        <f>IF($B155&gt;Trainingsdaten!$H$3,"",MOD(ROW()-4,Trainingsdaten!$H$4)+1)</f>
        <v/>
      </c>
      <c r="B155" s="11" t="str">
        <f>IF(INT((ROW()-4)/Trainingsdaten!$H$4)+1&gt;Trainingsdaten!$H$3,"",INT((ROW()-4)/Trainingsdaten!$H$4)+1)</f>
        <v/>
      </c>
      <c r="C155" s="9" t="str">
        <f>IF(INT((ROW()-4)/Trainingsdaten!$H$4)+1&gt;Trainingsdaten!$H$3,"",MOD(ROW()-4,Trainingsdaten!$H$4)+1)</f>
        <v/>
      </c>
      <c r="D155" s="9" t="str">
        <f>IF($B155&gt;Trainingsdaten!$H$3,"",INDEX(Trainingsdaten!B:B,$C155+1))</f>
        <v/>
      </c>
      <c r="E155" s="7" t="str">
        <f>IF($B155&gt;Trainingsdaten!$H$3,"",INDEX(Trainingsdaten!C:C,$C155+1))</f>
        <v/>
      </c>
      <c r="F155" s="7" t="str">
        <f>IF($B155&gt;Trainingsdaten!$H$3,"",INDEX(Trainingsdaten!D:D,$C155+1))</f>
        <v/>
      </c>
      <c r="G155" s="7" t="str">
        <f>IF($B155&gt;Trainingsdaten!$H$3,"",INDEX(Trainingsdaten!E:E,$C155+1))</f>
        <v/>
      </c>
      <c r="H155" s="11" t="str">
        <f>IF($B155&gt;Trainingsdaten!$H$3,"",Trainingsdaten!$H$2)</f>
        <v/>
      </c>
      <c r="I155" s="7" t="str">
        <f>IF(B155&gt;Trainingsdaten!$H$3,"",I154+H155*N154*E155)</f>
        <v/>
      </c>
      <c r="J155" s="7" t="str">
        <f>IF(B155&gt;Trainingsdaten!$H$3,"",J154+H155*N154*F155)</f>
        <v/>
      </c>
      <c r="K155" s="7" t="str">
        <f>IF(B155&gt;Trainingsdaten!$H$3,"",K154+H155*N154)</f>
        <v/>
      </c>
      <c r="L155" s="7" t="str">
        <f>IF(B155&gt;Trainingsdaten!$H$3,"",E155*I155+F155*J155+K155)</f>
        <v/>
      </c>
      <c r="M155" s="7" t="str">
        <f>IF(B155&gt;Trainingsdaten!$H$3,"",IF(L155&gt;0,1,0))</f>
        <v/>
      </c>
      <c r="N155" s="7" t="str">
        <f>IF(B155&gt;Trainingsdaten!$H$3,"",G155-M155)</f>
        <v/>
      </c>
    </row>
    <row r="156" spans="1:14" x14ac:dyDescent="0.25">
      <c r="A156" s="9" t="str">
        <f>IF($B156&gt;Trainingsdaten!$H$3,"",MOD(ROW()-4,Trainingsdaten!$H$4)+1)</f>
        <v/>
      </c>
      <c r="B156" s="11" t="str">
        <f>IF(INT((ROW()-4)/Trainingsdaten!$H$4)+1&gt;Trainingsdaten!$H$3,"",INT((ROW()-4)/Trainingsdaten!$H$4)+1)</f>
        <v/>
      </c>
      <c r="C156" s="9" t="str">
        <f>IF(INT((ROW()-4)/Trainingsdaten!$H$4)+1&gt;Trainingsdaten!$H$3,"",MOD(ROW()-4,Trainingsdaten!$H$4)+1)</f>
        <v/>
      </c>
      <c r="D156" s="9" t="str">
        <f>IF($B156&gt;Trainingsdaten!$H$3,"",INDEX(Trainingsdaten!B:B,$C156+1))</f>
        <v/>
      </c>
      <c r="E156" s="7" t="str">
        <f>IF($B156&gt;Trainingsdaten!$H$3,"",INDEX(Trainingsdaten!C:C,$C156+1))</f>
        <v/>
      </c>
      <c r="F156" s="7" t="str">
        <f>IF($B156&gt;Trainingsdaten!$H$3,"",INDEX(Trainingsdaten!D:D,$C156+1))</f>
        <v/>
      </c>
      <c r="G156" s="7" t="str">
        <f>IF($B156&gt;Trainingsdaten!$H$3,"",INDEX(Trainingsdaten!E:E,$C156+1))</f>
        <v/>
      </c>
      <c r="H156" s="11" t="str">
        <f>IF($B156&gt;Trainingsdaten!$H$3,"",Trainingsdaten!$H$2)</f>
        <v/>
      </c>
      <c r="I156" s="7" t="str">
        <f>IF(B156&gt;Trainingsdaten!$H$3,"",I155+H156*N155*E156)</f>
        <v/>
      </c>
      <c r="J156" s="7" t="str">
        <f>IF(B156&gt;Trainingsdaten!$H$3,"",J155+H156*N155*F156)</f>
        <v/>
      </c>
      <c r="K156" s="7" t="str">
        <f>IF(B156&gt;Trainingsdaten!$H$3,"",K155+H156*N155)</f>
        <v/>
      </c>
      <c r="L156" s="7" t="str">
        <f>IF(B156&gt;Trainingsdaten!$H$3,"",E156*I156+F156*J156+K156)</f>
        <v/>
      </c>
      <c r="M156" s="7" t="str">
        <f>IF(B156&gt;Trainingsdaten!$H$3,"",IF(L156&gt;0,1,0))</f>
        <v/>
      </c>
      <c r="N156" s="7" t="str">
        <f>IF(B156&gt;Trainingsdaten!$H$3,"",G156-M156)</f>
        <v/>
      </c>
    </row>
    <row r="157" spans="1:14" x14ac:dyDescent="0.25">
      <c r="A157" s="9" t="str">
        <f>IF($B157&gt;Trainingsdaten!$H$3,"",MOD(ROW()-4,Trainingsdaten!$H$4)+1)</f>
        <v/>
      </c>
      <c r="B157" s="11" t="str">
        <f>IF(INT((ROW()-4)/Trainingsdaten!$H$4)+1&gt;Trainingsdaten!$H$3,"",INT((ROW()-4)/Trainingsdaten!$H$4)+1)</f>
        <v/>
      </c>
      <c r="C157" s="9" t="str">
        <f>IF(INT((ROW()-4)/Trainingsdaten!$H$4)+1&gt;Trainingsdaten!$H$3,"",MOD(ROW()-4,Trainingsdaten!$H$4)+1)</f>
        <v/>
      </c>
      <c r="D157" s="9" t="str">
        <f>IF($B157&gt;Trainingsdaten!$H$3,"",INDEX(Trainingsdaten!B:B,$C157+1))</f>
        <v/>
      </c>
      <c r="E157" s="7" t="str">
        <f>IF($B157&gt;Trainingsdaten!$H$3,"",INDEX(Trainingsdaten!C:C,$C157+1))</f>
        <v/>
      </c>
      <c r="F157" s="7" t="str">
        <f>IF($B157&gt;Trainingsdaten!$H$3,"",INDEX(Trainingsdaten!D:D,$C157+1))</f>
        <v/>
      </c>
      <c r="G157" s="7" t="str">
        <f>IF($B157&gt;Trainingsdaten!$H$3,"",INDEX(Trainingsdaten!E:E,$C157+1))</f>
        <v/>
      </c>
      <c r="H157" s="11" t="str">
        <f>IF($B157&gt;Trainingsdaten!$H$3,"",Trainingsdaten!$H$2)</f>
        <v/>
      </c>
      <c r="I157" s="7" t="str">
        <f>IF(B157&gt;Trainingsdaten!$H$3,"",I156+H157*N156*E157)</f>
        <v/>
      </c>
      <c r="J157" s="7" t="str">
        <f>IF(B157&gt;Trainingsdaten!$H$3,"",J156+H157*N156*F157)</f>
        <v/>
      </c>
      <c r="K157" s="7" t="str">
        <f>IF(B157&gt;Trainingsdaten!$H$3,"",K156+H157*N156)</f>
        <v/>
      </c>
      <c r="L157" s="7" t="str">
        <f>IF(B157&gt;Trainingsdaten!$H$3,"",E157*I157+F157*J157+K157)</f>
        <v/>
      </c>
      <c r="M157" s="7" t="str">
        <f>IF(B157&gt;Trainingsdaten!$H$3,"",IF(L157&gt;0,1,0))</f>
        <v/>
      </c>
      <c r="N157" s="7" t="str">
        <f>IF(B157&gt;Trainingsdaten!$H$3,"",G157-M157)</f>
        <v/>
      </c>
    </row>
    <row r="158" spans="1:14" x14ac:dyDescent="0.25">
      <c r="A158" s="9" t="str">
        <f>IF($B158&gt;Trainingsdaten!$H$3,"",MOD(ROW()-4,Trainingsdaten!$H$4)+1)</f>
        <v/>
      </c>
      <c r="B158" s="11" t="str">
        <f>IF(INT((ROW()-4)/Trainingsdaten!$H$4)+1&gt;Trainingsdaten!$H$3,"",INT((ROW()-4)/Trainingsdaten!$H$4)+1)</f>
        <v/>
      </c>
      <c r="C158" s="9" t="str">
        <f>IF(INT((ROW()-4)/Trainingsdaten!$H$4)+1&gt;Trainingsdaten!$H$3,"",MOD(ROW()-4,Trainingsdaten!$H$4)+1)</f>
        <v/>
      </c>
      <c r="D158" s="9" t="str">
        <f>IF($B158&gt;Trainingsdaten!$H$3,"",INDEX(Trainingsdaten!B:B,$C158+1))</f>
        <v/>
      </c>
      <c r="E158" s="7" t="str">
        <f>IF($B158&gt;Trainingsdaten!$H$3,"",INDEX(Trainingsdaten!C:C,$C158+1))</f>
        <v/>
      </c>
      <c r="F158" s="7" t="str">
        <f>IF($B158&gt;Trainingsdaten!$H$3,"",INDEX(Trainingsdaten!D:D,$C158+1))</f>
        <v/>
      </c>
      <c r="G158" s="7" t="str">
        <f>IF($B158&gt;Trainingsdaten!$H$3,"",INDEX(Trainingsdaten!E:E,$C158+1))</f>
        <v/>
      </c>
      <c r="H158" s="11" t="str">
        <f>IF($B158&gt;Trainingsdaten!$H$3,"",Trainingsdaten!$H$2)</f>
        <v/>
      </c>
      <c r="I158" s="7" t="str">
        <f>IF(B158&gt;Trainingsdaten!$H$3,"",I157+H158*N157*E158)</f>
        <v/>
      </c>
      <c r="J158" s="7" t="str">
        <f>IF(B158&gt;Trainingsdaten!$H$3,"",J157+H158*N157*F158)</f>
        <v/>
      </c>
      <c r="K158" s="7" t="str">
        <f>IF(B158&gt;Trainingsdaten!$H$3,"",K157+H158*N157)</f>
        <v/>
      </c>
      <c r="L158" s="7" t="str">
        <f>IF(B158&gt;Trainingsdaten!$H$3,"",E158*I158+F158*J158+K158)</f>
        <v/>
      </c>
      <c r="M158" s="7" t="str">
        <f>IF(B158&gt;Trainingsdaten!$H$3,"",IF(L158&gt;0,1,0))</f>
        <v/>
      </c>
      <c r="N158" s="7" t="str">
        <f>IF(B158&gt;Trainingsdaten!$H$3,"",G158-M158)</f>
        <v/>
      </c>
    </row>
    <row r="159" spans="1:14" x14ac:dyDescent="0.25">
      <c r="A159" s="9" t="str">
        <f>IF($B159&gt;Trainingsdaten!$H$3,"",MOD(ROW()-4,Trainingsdaten!$H$4)+1)</f>
        <v/>
      </c>
      <c r="B159" s="11" t="str">
        <f>IF(INT((ROW()-4)/Trainingsdaten!$H$4)+1&gt;Trainingsdaten!$H$3,"",INT((ROW()-4)/Trainingsdaten!$H$4)+1)</f>
        <v/>
      </c>
      <c r="C159" s="9" t="str">
        <f>IF(INT((ROW()-4)/Trainingsdaten!$H$4)+1&gt;Trainingsdaten!$H$3,"",MOD(ROW()-4,Trainingsdaten!$H$4)+1)</f>
        <v/>
      </c>
      <c r="D159" s="9" t="str">
        <f>IF($B159&gt;Trainingsdaten!$H$3,"",INDEX(Trainingsdaten!B:B,$C159+1))</f>
        <v/>
      </c>
      <c r="E159" s="7" t="str">
        <f>IF($B159&gt;Trainingsdaten!$H$3,"",INDEX(Trainingsdaten!C:C,$C159+1))</f>
        <v/>
      </c>
      <c r="F159" s="7" t="str">
        <f>IF($B159&gt;Trainingsdaten!$H$3,"",INDEX(Trainingsdaten!D:D,$C159+1))</f>
        <v/>
      </c>
      <c r="G159" s="7" t="str">
        <f>IF($B159&gt;Trainingsdaten!$H$3,"",INDEX(Trainingsdaten!E:E,$C159+1))</f>
        <v/>
      </c>
      <c r="H159" s="11" t="str">
        <f>IF($B159&gt;Trainingsdaten!$H$3,"",Trainingsdaten!$H$2)</f>
        <v/>
      </c>
      <c r="I159" s="7" t="str">
        <f>IF(B159&gt;Trainingsdaten!$H$3,"",I158+H159*N158*E159)</f>
        <v/>
      </c>
      <c r="J159" s="7" t="str">
        <f>IF(B159&gt;Trainingsdaten!$H$3,"",J158+H159*N158*F159)</f>
        <v/>
      </c>
      <c r="K159" s="7" t="str">
        <f>IF(B159&gt;Trainingsdaten!$H$3,"",K158+H159*N158)</f>
        <v/>
      </c>
      <c r="L159" s="7" t="str">
        <f>IF(B159&gt;Trainingsdaten!$H$3,"",E159*I159+F159*J159+K159)</f>
        <v/>
      </c>
      <c r="M159" s="7" t="str">
        <f>IF(B159&gt;Trainingsdaten!$H$3,"",IF(L159&gt;0,1,0))</f>
        <v/>
      </c>
      <c r="N159" s="7" t="str">
        <f>IF(B159&gt;Trainingsdaten!$H$3,"",G159-M159)</f>
        <v/>
      </c>
    </row>
    <row r="160" spans="1:14" x14ac:dyDescent="0.25">
      <c r="A160" s="9" t="str">
        <f>IF($B160&gt;Trainingsdaten!$H$3,"",MOD(ROW()-4,Trainingsdaten!$H$4)+1)</f>
        <v/>
      </c>
      <c r="B160" s="11" t="str">
        <f>IF(INT((ROW()-4)/Trainingsdaten!$H$4)+1&gt;Trainingsdaten!$H$3,"",INT((ROW()-4)/Trainingsdaten!$H$4)+1)</f>
        <v/>
      </c>
      <c r="C160" s="9" t="str">
        <f>IF(INT((ROW()-4)/Trainingsdaten!$H$4)+1&gt;Trainingsdaten!$H$3,"",MOD(ROW()-4,Trainingsdaten!$H$4)+1)</f>
        <v/>
      </c>
      <c r="D160" s="9" t="str">
        <f>IF($B160&gt;Trainingsdaten!$H$3,"",INDEX(Trainingsdaten!B:B,$C160+1))</f>
        <v/>
      </c>
      <c r="E160" s="7" t="str">
        <f>IF($B160&gt;Trainingsdaten!$H$3,"",INDEX(Trainingsdaten!C:C,$C160+1))</f>
        <v/>
      </c>
      <c r="F160" s="7" t="str">
        <f>IF($B160&gt;Trainingsdaten!$H$3,"",INDEX(Trainingsdaten!D:D,$C160+1))</f>
        <v/>
      </c>
      <c r="G160" s="7" t="str">
        <f>IF($B160&gt;Trainingsdaten!$H$3,"",INDEX(Trainingsdaten!E:E,$C160+1))</f>
        <v/>
      </c>
      <c r="H160" s="11" t="str">
        <f>IF($B160&gt;Trainingsdaten!$H$3,"",Trainingsdaten!$H$2)</f>
        <v/>
      </c>
      <c r="I160" s="7" t="str">
        <f>IF(B160&gt;Trainingsdaten!$H$3,"",I159+H160*N159*E160)</f>
        <v/>
      </c>
      <c r="J160" s="7" t="str">
        <f>IF(B160&gt;Trainingsdaten!$H$3,"",J159+H160*N159*F160)</f>
        <v/>
      </c>
      <c r="K160" s="7" t="str">
        <f>IF(B160&gt;Trainingsdaten!$H$3,"",K159+H160*N159)</f>
        <v/>
      </c>
      <c r="L160" s="7" t="str">
        <f>IF(B160&gt;Trainingsdaten!$H$3,"",E160*I160+F160*J160+K160)</f>
        <v/>
      </c>
      <c r="M160" s="7" t="str">
        <f>IF(B160&gt;Trainingsdaten!$H$3,"",IF(L160&gt;0,1,0))</f>
        <v/>
      </c>
      <c r="N160" s="7" t="str">
        <f>IF(B160&gt;Trainingsdaten!$H$3,"",G160-M160)</f>
        <v/>
      </c>
    </row>
    <row r="161" spans="1:14" x14ac:dyDescent="0.25">
      <c r="A161" s="9" t="str">
        <f>IF($B161&gt;Trainingsdaten!$H$3,"",MOD(ROW()-4,Trainingsdaten!$H$4)+1)</f>
        <v/>
      </c>
      <c r="B161" s="11" t="str">
        <f>IF(INT((ROW()-4)/Trainingsdaten!$H$4)+1&gt;Trainingsdaten!$H$3,"",INT((ROW()-4)/Trainingsdaten!$H$4)+1)</f>
        <v/>
      </c>
      <c r="C161" s="9" t="str">
        <f>IF(INT((ROW()-4)/Trainingsdaten!$H$4)+1&gt;Trainingsdaten!$H$3,"",MOD(ROW()-4,Trainingsdaten!$H$4)+1)</f>
        <v/>
      </c>
      <c r="D161" s="9" t="str">
        <f>IF($B161&gt;Trainingsdaten!$H$3,"",INDEX(Trainingsdaten!B:B,$C161+1))</f>
        <v/>
      </c>
      <c r="E161" s="7" t="str">
        <f>IF($B161&gt;Trainingsdaten!$H$3,"",INDEX(Trainingsdaten!C:C,$C161+1))</f>
        <v/>
      </c>
      <c r="F161" s="7" t="str">
        <f>IF($B161&gt;Trainingsdaten!$H$3,"",INDEX(Trainingsdaten!D:D,$C161+1))</f>
        <v/>
      </c>
      <c r="G161" s="7" t="str">
        <f>IF($B161&gt;Trainingsdaten!$H$3,"",INDEX(Trainingsdaten!E:E,$C161+1))</f>
        <v/>
      </c>
      <c r="H161" s="11" t="str">
        <f>IF($B161&gt;Trainingsdaten!$H$3,"",Trainingsdaten!$H$2)</f>
        <v/>
      </c>
      <c r="I161" s="7" t="str">
        <f>IF(B161&gt;Trainingsdaten!$H$3,"",I160+H161*N160*E161)</f>
        <v/>
      </c>
      <c r="J161" s="7" t="str">
        <f>IF(B161&gt;Trainingsdaten!$H$3,"",J160+H161*N160*F161)</f>
        <v/>
      </c>
      <c r="K161" s="7" t="str">
        <f>IF(B161&gt;Trainingsdaten!$H$3,"",K160+H161*N160)</f>
        <v/>
      </c>
      <c r="L161" s="7" t="str">
        <f>IF(B161&gt;Trainingsdaten!$H$3,"",E161*I161+F161*J161+K161)</f>
        <v/>
      </c>
      <c r="M161" s="7" t="str">
        <f>IF(B161&gt;Trainingsdaten!$H$3,"",IF(L161&gt;0,1,0))</f>
        <v/>
      </c>
      <c r="N161" s="7" t="str">
        <f>IF(B161&gt;Trainingsdaten!$H$3,"",G161-M161)</f>
        <v/>
      </c>
    </row>
    <row r="162" spans="1:14" x14ac:dyDescent="0.25">
      <c r="A162" s="9" t="str">
        <f>IF($B162&gt;Trainingsdaten!$H$3,"",MOD(ROW()-4,Trainingsdaten!$H$4)+1)</f>
        <v/>
      </c>
      <c r="B162" s="11" t="str">
        <f>IF(INT((ROW()-4)/Trainingsdaten!$H$4)+1&gt;Trainingsdaten!$H$3,"",INT((ROW()-4)/Trainingsdaten!$H$4)+1)</f>
        <v/>
      </c>
      <c r="C162" s="9" t="str">
        <f>IF(INT((ROW()-4)/Trainingsdaten!$H$4)+1&gt;Trainingsdaten!$H$3,"",MOD(ROW()-4,Trainingsdaten!$H$4)+1)</f>
        <v/>
      </c>
      <c r="D162" s="9" t="str">
        <f>IF($B162&gt;Trainingsdaten!$H$3,"",INDEX(Trainingsdaten!B:B,$C162+1))</f>
        <v/>
      </c>
      <c r="E162" s="7" t="str">
        <f>IF($B162&gt;Trainingsdaten!$H$3,"",INDEX(Trainingsdaten!C:C,$C162+1))</f>
        <v/>
      </c>
      <c r="F162" s="7" t="str">
        <f>IF($B162&gt;Trainingsdaten!$H$3,"",INDEX(Trainingsdaten!D:D,$C162+1))</f>
        <v/>
      </c>
      <c r="G162" s="7" t="str">
        <f>IF($B162&gt;Trainingsdaten!$H$3,"",INDEX(Trainingsdaten!E:E,$C162+1))</f>
        <v/>
      </c>
      <c r="H162" s="11" t="str">
        <f>IF($B162&gt;Trainingsdaten!$H$3,"",Trainingsdaten!$H$2)</f>
        <v/>
      </c>
      <c r="I162" s="7" t="str">
        <f>IF(B162&gt;Trainingsdaten!$H$3,"",I161+H162*N161*E162)</f>
        <v/>
      </c>
      <c r="J162" s="7" t="str">
        <f>IF(B162&gt;Trainingsdaten!$H$3,"",J161+H162*N161*F162)</f>
        <v/>
      </c>
      <c r="K162" s="7" t="str">
        <f>IF(B162&gt;Trainingsdaten!$H$3,"",K161+H162*N161)</f>
        <v/>
      </c>
      <c r="L162" s="7" t="str">
        <f>IF(B162&gt;Trainingsdaten!$H$3,"",E162*I162+F162*J162+K162)</f>
        <v/>
      </c>
      <c r="M162" s="7" t="str">
        <f>IF(B162&gt;Trainingsdaten!$H$3,"",IF(L162&gt;0,1,0))</f>
        <v/>
      </c>
      <c r="N162" s="7" t="str">
        <f>IF(B162&gt;Trainingsdaten!$H$3,"",G162-M162)</f>
        <v/>
      </c>
    </row>
    <row r="163" spans="1:14" x14ac:dyDescent="0.25">
      <c r="A163" s="9" t="str">
        <f>IF($B163&gt;Trainingsdaten!$H$3,"",MOD(ROW()-4,Trainingsdaten!$H$4)+1)</f>
        <v/>
      </c>
      <c r="B163" s="11" t="str">
        <f>IF(INT((ROW()-4)/Trainingsdaten!$H$4)+1&gt;Trainingsdaten!$H$3,"",INT((ROW()-4)/Trainingsdaten!$H$4)+1)</f>
        <v/>
      </c>
      <c r="C163" s="9" t="str">
        <f>IF(INT((ROW()-4)/Trainingsdaten!$H$4)+1&gt;Trainingsdaten!$H$3,"",MOD(ROW()-4,Trainingsdaten!$H$4)+1)</f>
        <v/>
      </c>
      <c r="D163" s="9" t="str">
        <f>IF($B163&gt;Trainingsdaten!$H$3,"",INDEX(Trainingsdaten!B:B,$C163+1))</f>
        <v/>
      </c>
      <c r="E163" s="7" t="str">
        <f>IF($B163&gt;Trainingsdaten!$H$3,"",INDEX(Trainingsdaten!C:C,$C163+1))</f>
        <v/>
      </c>
      <c r="F163" s="7" t="str">
        <f>IF($B163&gt;Trainingsdaten!$H$3,"",INDEX(Trainingsdaten!D:D,$C163+1))</f>
        <v/>
      </c>
      <c r="G163" s="7" t="str">
        <f>IF($B163&gt;Trainingsdaten!$H$3,"",INDEX(Trainingsdaten!E:E,$C163+1))</f>
        <v/>
      </c>
      <c r="H163" s="11" t="str">
        <f>IF($B163&gt;Trainingsdaten!$H$3,"",Trainingsdaten!$H$2)</f>
        <v/>
      </c>
      <c r="I163" s="7" t="str">
        <f>IF(B163&gt;Trainingsdaten!$H$3,"",I162+H163*N162*E163)</f>
        <v/>
      </c>
      <c r="J163" s="7" t="str">
        <f>IF(B163&gt;Trainingsdaten!$H$3,"",J162+H163*N162*F163)</f>
        <v/>
      </c>
      <c r="K163" s="7" t="str">
        <f>IF(B163&gt;Trainingsdaten!$H$3,"",K162+H163*N162)</f>
        <v/>
      </c>
      <c r="L163" s="7" t="str">
        <f>IF(B163&gt;Trainingsdaten!$H$3,"",E163*I163+F163*J163+K163)</f>
        <v/>
      </c>
      <c r="M163" s="7" t="str">
        <f>IF(B163&gt;Trainingsdaten!$H$3,"",IF(L163&gt;0,1,0))</f>
        <v/>
      </c>
      <c r="N163" s="7" t="str">
        <f>IF(B163&gt;Trainingsdaten!$H$3,"",G163-M163)</f>
        <v/>
      </c>
    </row>
    <row r="164" spans="1:14" x14ac:dyDescent="0.25">
      <c r="A164" s="9" t="str">
        <f>IF($B164&gt;Trainingsdaten!$H$3,"",MOD(ROW()-4,Trainingsdaten!$H$4)+1)</f>
        <v/>
      </c>
      <c r="B164" s="11" t="str">
        <f>IF(INT((ROW()-4)/Trainingsdaten!$H$4)+1&gt;Trainingsdaten!$H$3,"",INT((ROW()-4)/Trainingsdaten!$H$4)+1)</f>
        <v/>
      </c>
      <c r="C164" s="9" t="str">
        <f>IF(INT((ROW()-4)/Trainingsdaten!$H$4)+1&gt;Trainingsdaten!$H$3,"",MOD(ROW()-4,Trainingsdaten!$H$4)+1)</f>
        <v/>
      </c>
      <c r="D164" s="9" t="str">
        <f>IF($B164&gt;Trainingsdaten!$H$3,"",INDEX(Trainingsdaten!B:B,$C164+1))</f>
        <v/>
      </c>
      <c r="E164" s="7" t="str">
        <f>IF($B164&gt;Trainingsdaten!$H$3,"",INDEX(Trainingsdaten!C:C,$C164+1))</f>
        <v/>
      </c>
      <c r="F164" s="7" t="str">
        <f>IF($B164&gt;Trainingsdaten!$H$3,"",INDEX(Trainingsdaten!D:D,$C164+1))</f>
        <v/>
      </c>
      <c r="G164" s="7" t="str">
        <f>IF($B164&gt;Trainingsdaten!$H$3,"",INDEX(Trainingsdaten!E:E,$C164+1))</f>
        <v/>
      </c>
      <c r="H164" s="11" t="str">
        <f>IF($B164&gt;Trainingsdaten!$H$3,"",Trainingsdaten!$H$2)</f>
        <v/>
      </c>
      <c r="I164" s="7" t="str">
        <f>IF(B164&gt;Trainingsdaten!$H$3,"",I163+H164*N163*E164)</f>
        <v/>
      </c>
      <c r="J164" s="7" t="str">
        <f>IF(B164&gt;Trainingsdaten!$H$3,"",J163+H164*N163*F164)</f>
        <v/>
      </c>
      <c r="K164" s="7" t="str">
        <f>IF(B164&gt;Trainingsdaten!$H$3,"",K163+H164*N163)</f>
        <v/>
      </c>
      <c r="L164" s="7" t="str">
        <f>IF(B164&gt;Trainingsdaten!$H$3,"",E164*I164+F164*J164+K164)</f>
        <v/>
      </c>
      <c r="M164" s="7" t="str">
        <f>IF(B164&gt;Trainingsdaten!$H$3,"",IF(L164&gt;0,1,0))</f>
        <v/>
      </c>
      <c r="N164" s="7" t="str">
        <f>IF(B164&gt;Trainingsdaten!$H$3,"",G164-M164)</f>
        <v/>
      </c>
    </row>
    <row r="165" spans="1:14" x14ac:dyDescent="0.25">
      <c r="A165" s="9" t="str">
        <f>IF($B165&gt;Trainingsdaten!$H$3,"",MOD(ROW()-4,Trainingsdaten!$H$4)+1)</f>
        <v/>
      </c>
      <c r="B165" s="11" t="str">
        <f>IF(INT((ROW()-4)/Trainingsdaten!$H$4)+1&gt;Trainingsdaten!$H$3,"",INT((ROW()-4)/Trainingsdaten!$H$4)+1)</f>
        <v/>
      </c>
      <c r="C165" s="9" t="str">
        <f>IF(INT((ROW()-4)/Trainingsdaten!$H$4)+1&gt;Trainingsdaten!$H$3,"",MOD(ROW()-4,Trainingsdaten!$H$4)+1)</f>
        <v/>
      </c>
      <c r="D165" s="9" t="str">
        <f>IF($B165&gt;Trainingsdaten!$H$3,"",INDEX(Trainingsdaten!B:B,$C165+1))</f>
        <v/>
      </c>
      <c r="E165" s="7" t="str">
        <f>IF($B165&gt;Trainingsdaten!$H$3,"",INDEX(Trainingsdaten!C:C,$C165+1))</f>
        <v/>
      </c>
      <c r="F165" s="7" t="str">
        <f>IF($B165&gt;Trainingsdaten!$H$3,"",INDEX(Trainingsdaten!D:D,$C165+1))</f>
        <v/>
      </c>
      <c r="G165" s="7" t="str">
        <f>IF($B165&gt;Trainingsdaten!$H$3,"",INDEX(Trainingsdaten!E:E,$C165+1))</f>
        <v/>
      </c>
      <c r="H165" s="11" t="str">
        <f>IF($B165&gt;Trainingsdaten!$H$3,"",Trainingsdaten!$H$2)</f>
        <v/>
      </c>
      <c r="I165" s="7" t="str">
        <f>IF(B165&gt;Trainingsdaten!$H$3,"",I164+H165*N164*E165)</f>
        <v/>
      </c>
      <c r="J165" s="7" t="str">
        <f>IF(B165&gt;Trainingsdaten!$H$3,"",J164+H165*N164*F165)</f>
        <v/>
      </c>
      <c r="K165" s="7" t="str">
        <f>IF(B165&gt;Trainingsdaten!$H$3,"",K164+H165*N164)</f>
        <v/>
      </c>
      <c r="L165" s="7" t="str">
        <f>IF(B165&gt;Trainingsdaten!$H$3,"",E165*I165+F165*J165+K165)</f>
        <v/>
      </c>
      <c r="M165" s="7" t="str">
        <f>IF(B165&gt;Trainingsdaten!$H$3,"",IF(L165&gt;0,1,0))</f>
        <v/>
      </c>
      <c r="N165" s="7" t="str">
        <f>IF(B165&gt;Trainingsdaten!$H$3,"",G165-M165)</f>
        <v/>
      </c>
    </row>
    <row r="166" spans="1:14" x14ac:dyDescent="0.25">
      <c r="A166" s="9" t="str">
        <f>IF($B166&gt;Trainingsdaten!$H$3,"",MOD(ROW()-4,Trainingsdaten!$H$4)+1)</f>
        <v/>
      </c>
      <c r="B166" s="11" t="str">
        <f>IF(INT((ROW()-4)/Trainingsdaten!$H$4)+1&gt;Trainingsdaten!$H$3,"",INT((ROW()-4)/Trainingsdaten!$H$4)+1)</f>
        <v/>
      </c>
      <c r="C166" s="9" t="str">
        <f>IF(INT((ROW()-4)/Trainingsdaten!$H$4)+1&gt;Trainingsdaten!$H$3,"",MOD(ROW()-4,Trainingsdaten!$H$4)+1)</f>
        <v/>
      </c>
      <c r="D166" s="9" t="str">
        <f>IF($B166&gt;Trainingsdaten!$H$3,"",INDEX(Trainingsdaten!B:B,$C166+1))</f>
        <v/>
      </c>
      <c r="E166" s="7" t="str">
        <f>IF($B166&gt;Trainingsdaten!$H$3,"",INDEX(Trainingsdaten!C:C,$C166+1))</f>
        <v/>
      </c>
      <c r="F166" s="7" t="str">
        <f>IF($B166&gt;Trainingsdaten!$H$3,"",INDEX(Trainingsdaten!D:D,$C166+1))</f>
        <v/>
      </c>
      <c r="G166" s="7" t="str">
        <f>IF($B166&gt;Trainingsdaten!$H$3,"",INDEX(Trainingsdaten!E:E,$C166+1))</f>
        <v/>
      </c>
      <c r="H166" s="11" t="str">
        <f>IF($B166&gt;Trainingsdaten!$H$3,"",Trainingsdaten!$H$2)</f>
        <v/>
      </c>
      <c r="I166" s="7" t="str">
        <f>IF(B166&gt;Trainingsdaten!$H$3,"",I165+H166*N165*E166)</f>
        <v/>
      </c>
      <c r="J166" s="7" t="str">
        <f>IF(B166&gt;Trainingsdaten!$H$3,"",J165+H166*N165*F166)</f>
        <v/>
      </c>
      <c r="K166" s="7" t="str">
        <f>IF(B166&gt;Trainingsdaten!$H$3,"",K165+H166*N165)</f>
        <v/>
      </c>
      <c r="L166" s="7" t="str">
        <f>IF(B166&gt;Trainingsdaten!$H$3,"",E166*I166+F166*J166+K166)</f>
        <v/>
      </c>
      <c r="M166" s="7" t="str">
        <f>IF(B166&gt;Trainingsdaten!$H$3,"",IF(L166&gt;0,1,0))</f>
        <v/>
      </c>
      <c r="N166" s="7" t="str">
        <f>IF(B166&gt;Trainingsdaten!$H$3,"",G166-M166)</f>
        <v/>
      </c>
    </row>
    <row r="167" spans="1:14" x14ac:dyDescent="0.25">
      <c r="A167" s="9" t="str">
        <f>IF($B167&gt;Trainingsdaten!$H$3,"",MOD(ROW()-4,Trainingsdaten!$H$4)+1)</f>
        <v/>
      </c>
      <c r="B167" s="11" t="str">
        <f>IF(INT((ROW()-4)/Trainingsdaten!$H$4)+1&gt;Trainingsdaten!$H$3,"",INT((ROW()-4)/Trainingsdaten!$H$4)+1)</f>
        <v/>
      </c>
      <c r="C167" s="9" t="str">
        <f>IF(INT((ROW()-4)/Trainingsdaten!$H$4)+1&gt;Trainingsdaten!$H$3,"",MOD(ROW()-4,Trainingsdaten!$H$4)+1)</f>
        <v/>
      </c>
      <c r="D167" s="9" t="str">
        <f>IF($B167&gt;Trainingsdaten!$H$3,"",INDEX(Trainingsdaten!B:B,$C167+1))</f>
        <v/>
      </c>
      <c r="E167" s="7" t="str">
        <f>IF($B167&gt;Trainingsdaten!$H$3,"",INDEX(Trainingsdaten!C:C,$C167+1))</f>
        <v/>
      </c>
      <c r="F167" s="7" t="str">
        <f>IF($B167&gt;Trainingsdaten!$H$3,"",INDEX(Trainingsdaten!D:D,$C167+1))</f>
        <v/>
      </c>
      <c r="G167" s="7" t="str">
        <f>IF($B167&gt;Trainingsdaten!$H$3,"",INDEX(Trainingsdaten!E:E,$C167+1))</f>
        <v/>
      </c>
      <c r="H167" s="11" t="str">
        <f>IF($B167&gt;Trainingsdaten!$H$3,"",Trainingsdaten!$H$2)</f>
        <v/>
      </c>
      <c r="I167" s="7" t="str">
        <f>IF(B167&gt;Trainingsdaten!$H$3,"",I166+H167*N166*E167)</f>
        <v/>
      </c>
      <c r="J167" s="7" t="str">
        <f>IF(B167&gt;Trainingsdaten!$H$3,"",J166+H167*N166*F167)</f>
        <v/>
      </c>
      <c r="K167" s="7" t="str">
        <f>IF(B167&gt;Trainingsdaten!$H$3,"",K166+H167*N166)</f>
        <v/>
      </c>
      <c r="L167" s="7" t="str">
        <f>IF(B167&gt;Trainingsdaten!$H$3,"",E167*I167+F167*J167+K167)</f>
        <v/>
      </c>
      <c r="M167" s="7" t="str">
        <f>IF(B167&gt;Trainingsdaten!$H$3,"",IF(L167&gt;0,1,0))</f>
        <v/>
      </c>
      <c r="N167" s="7" t="str">
        <f>IF(B167&gt;Trainingsdaten!$H$3,"",G167-M167)</f>
        <v/>
      </c>
    </row>
    <row r="168" spans="1:14" x14ac:dyDescent="0.25">
      <c r="A168" s="9" t="str">
        <f>IF($B168&gt;Trainingsdaten!$H$3,"",MOD(ROW()-4,Trainingsdaten!$H$4)+1)</f>
        <v/>
      </c>
      <c r="B168" s="11" t="str">
        <f>IF(INT((ROW()-4)/Trainingsdaten!$H$4)+1&gt;Trainingsdaten!$H$3,"",INT((ROW()-4)/Trainingsdaten!$H$4)+1)</f>
        <v/>
      </c>
      <c r="C168" s="9" t="str">
        <f>IF(INT((ROW()-4)/Trainingsdaten!$H$4)+1&gt;Trainingsdaten!$H$3,"",MOD(ROW()-4,Trainingsdaten!$H$4)+1)</f>
        <v/>
      </c>
      <c r="D168" s="9" t="str">
        <f>IF($B168&gt;Trainingsdaten!$H$3,"",INDEX(Trainingsdaten!B:B,$C168+1))</f>
        <v/>
      </c>
      <c r="E168" s="7" t="str">
        <f>IF($B168&gt;Trainingsdaten!$H$3,"",INDEX(Trainingsdaten!C:C,$C168+1))</f>
        <v/>
      </c>
      <c r="F168" s="7" t="str">
        <f>IF($B168&gt;Trainingsdaten!$H$3,"",INDEX(Trainingsdaten!D:D,$C168+1))</f>
        <v/>
      </c>
      <c r="G168" s="7" t="str">
        <f>IF($B168&gt;Trainingsdaten!$H$3,"",INDEX(Trainingsdaten!E:E,$C168+1))</f>
        <v/>
      </c>
      <c r="H168" s="11" t="str">
        <f>IF($B168&gt;Trainingsdaten!$H$3,"",Trainingsdaten!$H$2)</f>
        <v/>
      </c>
      <c r="I168" s="7" t="str">
        <f>IF(B168&gt;Trainingsdaten!$H$3,"",I167+H168*N167*E168)</f>
        <v/>
      </c>
      <c r="J168" s="7" t="str">
        <f>IF(B168&gt;Trainingsdaten!$H$3,"",J167+H168*N167*F168)</f>
        <v/>
      </c>
      <c r="K168" s="7" t="str">
        <f>IF(B168&gt;Trainingsdaten!$H$3,"",K167+H168*N167)</f>
        <v/>
      </c>
      <c r="L168" s="7" t="str">
        <f>IF(B168&gt;Trainingsdaten!$H$3,"",E168*I168+F168*J168+K168)</f>
        <v/>
      </c>
      <c r="M168" s="7" t="str">
        <f>IF(B168&gt;Trainingsdaten!$H$3,"",IF(L168&gt;0,1,0))</f>
        <v/>
      </c>
      <c r="N168" s="7" t="str">
        <f>IF(B168&gt;Trainingsdaten!$H$3,"",G168-M168)</f>
        <v/>
      </c>
    </row>
    <row r="169" spans="1:14" x14ac:dyDescent="0.25">
      <c r="A169" s="9" t="str">
        <f>IF($B169&gt;Trainingsdaten!$H$3,"",MOD(ROW()-4,Trainingsdaten!$H$4)+1)</f>
        <v/>
      </c>
      <c r="B169" s="11" t="str">
        <f>IF(INT((ROW()-4)/Trainingsdaten!$H$4)+1&gt;Trainingsdaten!$H$3,"",INT((ROW()-4)/Trainingsdaten!$H$4)+1)</f>
        <v/>
      </c>
      <c r="C169" s="9" t="str">
        <f>IF(INT((ROW()-4)/Trainingsdaten!$H$4)+1&gt;Trainingsdaten!$H$3,"",MOD(ROW()-4,Trainingsdaten!$H$4)+1)</f>
        <v/>
      </c>
      <c r="D169" s="9" t="str">
        <f>IF($B169&gt;Trainingsdaten!$H$3,"",INDEX(Trainingsdaten!B:B,$C169+1))</f>
        <v/>
      </c>
      <c r="E169" s="7" t="str">
        <f>IF($B169&gt;Trainingsdaten!$H$3,"",INDEX(Trainingsdaten!C:C,$C169+1))</f>
        <v/>
      </c>
      <c r="F169" s="7" t="str">
        <f>IF($B169&gt;Trainingsdaten!$H$3,"",INDEX(Trainingsdaten!D:D,$C169+1))</f>
        <v/>
      </c>
      <c r="G169" s="7" t="str">
        <f>IF($B169&gt;Trainingsdaten!$H$3,"",INDEX(Trainingsdaten!E:E,$C169+1))</f>
        <v/>
      </c>
      <c r="H169" s="11" t="str">
        <f>IF($B169&gt;Trainingsdaten!$H$3,"",Trainingsdaten!$H$2)</f>
        <v/>
      </c>
      <c r="I169" s="7" t="str">
        <f>IF(B169&gt;Trainingsdaten!$H$3,"",I168+H169*N168*E169)</f>
        <v/>
      </c>
      <c r="J169" s="7" t="str">
        <f>IF(B169&gt;Trainingsdaten!$H$3,"",J168+H169*N168*F169)</f>
        <v/>
      </c>
      <c r="K169" s="7" t="str">
        <f>IF(B169&gt;Trainingsdaten!$H$3,"",K168+H169*N168)</f>
        <v/>
      </c>
      <c r="L169" s="7" t="str">
        <f>IF(B169&gt;Trainingsdaten!$H$3,"",E169*I169+F169*J169+K169)</f>
        <v/>
      </c>
      <c r="M169" s="7" t="str">
        <f>IF(B169&gt;Trainingsdaten!$H$3,"",IF(L169&gt;0,1,0))</f>
        <v/>
      </c>
      <c r="N169" s="7" t="str">
        <f>IF(B169&gt;Trainingsdaten!$H$3,"",G169-M169)</f>
        <v/>
      </c>
    </row>
    <row r="170" spans="1:14" x14ac:dyDescent="0.25">
      <c r="A170" s="9" t="str">
        <f>IF($B170&gt;Trainingsdaten!$H$3,"",MOD(ROW()-4,Trainingsdaten!$H$4)+1)</f>
        <v/>
      </c>
      <c r="B170" s="11" t="str">
        <f>IF(INT((ROW()-4)/Trainingsdaten!$H$4)+1&gt;Trainingsdaten!$H$3,"",INT((ROW()-4)/Trainingsdaten!$H$4)+1)</f>
        <v/>
      </c>
      <c r="C170" s="9" t="str">
        <f>IF(INT((ROW()-4)/Trainingsdaten!$H$4)+1&gt;Trainingsdaten!$H$3,"",MOD(ROW()-4,Trainingsdaten!$H$4)+1)</f>
        <v/>
      </c>
      <c r="D170" s="9" t="str">
        <f>IF($B170&gt;Trainingsdaten!$H$3,"",INDEX(Trainingsdaten!B:B,$C170+1))</f>
        <v/>
      </c>
      <c r="E170" s="7" t="str">
        <f>IF($B170&gt;Trainingsdaten!$H$3,"",INDEX(Trainingsdaten!C:C,$C170+1))</f>
        <v/>
      </c>
      <c r="F170" s="7" t="str">
        <f>IF($B170&gt;Trainingsdaten!$H$3,"",INDEX(Trainingsdaten!D:D,$C170+1))</f>
        <v/>
      </c>
      <c r="G170" s="7" t="str">
        <f>IF($B170&gt;Trainingsdaten!$H$3,"",INDEX(Trainingsdaten!E:E,$C170+1))</f>
        <v/>
      </c>
      <c r="H170" s="11" t="str">
        <f>IF($B170&gt;Trainingsdaten!$H$3,"",Trainingsdaten!$H$2)</f>
        <v/>
      </c>
      <c r="I170" s="7" t="str">
        <f>IF(B170&gt;Trainingsdaten!$H$3,"",I169+H170*N169*E170)</f>
        <v/>
      </c>
      <c r="J170" s="7" t="str">
        <f>IF(B170&gt;Trainingsdaten!$H$3,"",J169+H170*N169*F170)</f>
        <v/>
      </c>
      <c r="K170" s="7" t="str">
        <f>IF(B170&gt;Trainingsdaten!$H$3,"",K169+H170*N169)</f>
        <v/>
      </c>
      <c r="L170" s="7" t="str">
        <f>IF(B170&gt;Trainingsdaten!$H$3,"",E170*I170+F170*J170+K170)</f>
        <v/>
      </c>
      <c r="M170" s="7" t="str">
        <f>IF(B170&gt;Trainingsdaten!$H$3,"",IF(L170&gt;0,1,0))</f>
        <v/>
      </c>
      <c r="N170" s="7" t="str">
        <f>IF(B170&gt;Trainingsdaten!$H$3,"",G170-M170)</f>
        <v/>
      </c>
    </row>
    <row r="171" spans="1:14" x14ac:dyDescent="0.25">
      <c r="A171" s="9" t="str">
        <f>IF($B171&gt;Trainingsdaten!$H$3,"",MOD(ROW()-4,Trainingsdaten!$H$4)+1)</f>
        <v/>
      </c>
      <c r="B171" s="11" t="str">
        <f>IF(INT((ROW()-4)/Trainingsdaten!$H$4)+1&gt;Trainingsdaten!$H$3,"",INT((ROW()-4)/Trainingsdaten!$H$4)+1)</f>
        <v/>
      </c>
      <c r="C171" s="9" t="str">
        <f>IF(INT((ROW()-4)/Trainingsdaten!$H$4)+1&gt;Trainingsdaten!$H$3,"",MOD(ROW()-4,Trainingsdaten!$H$4)+1)</f>
        <v/>
      </c>
      <c r="D171" s="9" t="str">
        <f>IF($B171&gt;Trainingsdaten!$H$3,"",INDEX(Trainingsdaten!B:B,$C171+1))</f>
        <v/>
      </c>
      <c r="E171" s="7" t="str">
        <f>IF($B171&gt;Trainingsdaten!$H$3,"",INDEX(Trainingsdaten!C:C,$C171+1))</f>
        <v/>
      </c>
      <c r="F171" s="7" t="str">
        <f>IF($B171&gt;Trainingsdaten!$H$3,"",INDEX(Trainingsdaten!D:D,$C171+1))</f>
        <v/>
      </c>
      <c r="G171" s="7" t="str">
        <f>IF($B171&gt;Trainingsdaten!$H$3,"",INDEX(Trainingsdaten!E:E,$C171+1))</f>
        <v/>
      </c>
      <c r="H171" s="11" t="str">
        <f>IF($B171&gt;Trainingsdaten!$H$3,"",Trainingsdaten!$H$2)</f>
        <v/>
      </c>
      <c r="I171" s="7" t="str">
        <f>IF(B171&gt;Trainingsdaten!$H$3,"",I170+H171*N170*E171)</f>
        <v/>
      </c>
      <c r="J171" s="7" t="str">
        <f>IF(B171&gt;Trainingsdaten!$H$3,"",J170+H171*N170*F171)</f>
        <v/>
      </c>
      <c r="K171" s="7" t="str">
        <f>IF(B171&gt;Trainingsdaten!$H$3,"",K170+H171*N170)</f>
        <v/>
      </c>
      <c r="L171" s="7" t="str">
        <f>IF(B171&gt;Trainingsdaten!$H$3,"",E171*I171+F171*J171+K171)</f>
        <v/>
      </c>
      <c r="M171" s="7" t="str">
        <f>IF(B171&gt;Trainingsdaten!$H$3,"",IF(L171&gt;0,1,0))</f>
        <v/>
      </c>
      <c r="N171" s="7" t="str">
        <f>IF(B171&gt;Trainingsdaten!$H$3,"",G171-M171)</f>
        <v/>
      </c>
    </row>
    <row r="172" spans="1:14" x14ac:dyDescent="0.25">
      <c r="A172" s="9" t="str">
        <f>IF($B172&gt;Trainingsdaten!$H$3,"",MOD(ROW()-4,Trainingsdaten!$H$4)+1)</f>
        <v/>
      </c>
      <c r="B172" s="11" t="str">
        <f>IF(INT((ROW()-4)/Trainingsdaten!$H$4)+1&gt;Trainingsdaten!$H$3,"",INT((ROW()-4)/Trainingsdaten!$H$4)+1)</f>
        <v/>
      </c>
      <c r="C172" s="9" t="str">
        <f>IF(INT((ROW()-4)/Trainingsdaten!$H$4)+1&gt;Trainingsdaten!$H$3,"",MOD(ROW()-4,Trainingsdaten!$H$4)+1)</f>
        <v/>
      </c>
      <c r="D172" s="9" t="str">
        <f>IF($B172&gt;Trainingsdaten!$H$3,"",INDEX(Trainingsdaten!B:B,$C172+1))</f>
        <v/>
      </c>
      <c r="E172" s="7" t="str">
        <f>IF($B172&gt;Trainingsdaten!$H$3,"",INDEX(Trainingsdaten!C:C,$C172+1))</f>
        <v/>
      </c>
      <c r="F172" s="7" t="str">
        <f>IF($B172&gt;Trainingsdaten!$H$3,"",INDEX(Trainingsdaten!D:D,$C172+1))</f>
        <v/>
      </c>
      <c r="G172" s="7" t="str">
        <f>IF($B172&gt;Trainingsdaten!$H$3,"",INDEX(Trainingsdaten!E:E,$C172+1))</f>
        <v/>
      </c>
      <c r="H172" s="11" t="str">
        <f>IF($B172&gt;Trainingsdaten!$H$3,"",Trainingsdaten!$H$2)</f>
        <v/>
      </c>
      <c r="I172" s="7" t="str">
        <f>IF(B172&gt;Trainingsdaten!$H$3,"",I171+H172*N171*E172)</f>
        <v/>
      </c>
      <c r="J172" s="7" t="str">
        <f>IF(B172&gt;Trainingsdaten!$H$3,"",J171+H172*N171*F172)</f>
        <v/>
      </c>
      <c r="K172" s="7" t="str">
        <f>IF(B172&gt;Trainingsdaten!$H$3,"",K171+H172*N171)</f>
        <v/>
      </c>
      <c r="L172" s="7" t="str">
        <f>IF(B172&gt;Trainingsdaten!$H$3,"",E172*I172+F172*J172+K172)</f>
        <v/>
      </c>
      <c r="M172" s="7" t="str">
        <f>IF(B172&gt;Trainingsdaten!$H$3,"",IF(L172&gt;0,1,0))</f>
        <v/>
      </c>
      <c r="N172" s="7" t="str">
        <f>IF(B172&gt;Trainingsdaten!$H$3,"",G172-M172)</f>
        <v/>
      </c>
    </row>
    <row r="173" spans="1:14" x14ac:dyDescent="0.25">
      <c r="A173" s="9" t="str">
        <f>IF($B173&gt;Trainingsdaten!$H$3,"",MOD(ROW()-4,Trainingsdaten!$H$4)+1)</f>
        <v/>
      </c>
      <c r="B173" s="11" t="str">
        <f>IF(INT((ROW()-4)/Trainingsdaten!$H$4)+1&gt;Trainingsdaten!$H$3,"",INT((ROW()-4)/Trainingsdaten!$H$4)+1)</f>
        <v/>
      </c>
      <c r="C173" s="9" t="str">
        <f>IF(INT((ROW()-4)/Trainingsdaten!$H$4)+1&gt;Trainingsdaten!$H$3,"",MOD(ROW()-4,Trainingsdaten!$H$4)+1)</f>
        <v/>
      </c>
      <c r="D173" s="9" t="str">
        <f>IF($B173&gt;Trainingsdaten!$H$3,"",INDEX(Trainingsdaten!B:B,$C173+1))</f>
        <v/>
      </c>
      <c r="E173" s="7" t="str">
        <f>IF($B173&gt;Trainingsdaten!$H$3,"",INDEX(Trainingsdaten!C:C,$C173+1))</f>
        <v/>
      </c>
      <c r="F173" s="7" t="str">
        <f>IF($B173&gt;Trainingsdaten!$H$3,"",INDEX(Trainingsdaten!D:D,$C173+1))</f>
        <v/>
      </c>
      <c r="G173" s="7" t="str">
        <f>IF($B173&gt;Trainingsdaten!$H$3,"",INDEX(Trainingsdaten!E:E,$C173+1))</f>
        <v/>
      </c>
      <c r="H173" s="11" t="str">
        <f>IF($B173&gt;Trainingsdaten!$H$3,"",Trainingsdaten!$H$2)</f>
        <v/>
      </c>
      <c r="I173" s="7" t="str">
        <f>IF(B173&gt;Trainingsdaten!$H$3,"",I172+H173*N172*E173)</f>
        <v/>
      </c>
      <c r="J173" s="7" t="str">
        <f>IF(B173&gt;Trainingsdaten!$H$3,"",J172+H173*N172*F173)</f>
        <v/>
      </c>
      <c r="K173" s="7" t="str">
        <f>IF(B173&gt;Trainingsdaten!$H$3,"",K172+H173*N172)</f>
        <v/>
      </c>
      <c r="L173" s="7" t="str">
        <f>IF(B173&gt;Trainingsdaten!$H$3,"",E173*I173+F173*J173+K173)</f>
        <v/>
      </c>
      <c r="M173" s="7" t="str">
        <f>IF(B173&gt;Trainingsdaten!$H$3,"",IF(L173&gt;0,1,0))</f>
        <v/>
      </c>
      <c r="N173" s="7" t="str">
        <f>IF(B173&gt;Trainingsdaten!$H$3,"",G173-M173)</f>
        <v/>
      </c>
    </row>
    <row r="174" spans="1:14" x14ac:dyDescent="0.25">
      <c r="A174" s="9" t="str">
        <f>IF($B174&gt;Trainingsdaten!$H$3,"",MOD(ROW()-4,Trainingsdaten!$H$4)+1)</f>
        <v/>
      </c>
      <c r="B174" s="11" t="str">
        <f>IF(INT((ROW()-4)/Trainingsdaten!$H$4)+1&gt;Trainingsdaten!$H$3,"",INT((ROW()-4)/Trainingsdaten!$H$4)+1)</f>
        <v/>
      </c>
      <c r="C174" s="9" t="str">
        <f>IF(INT((ROW()-4)/Trainingsdaten!$H$4)+1&gt;Trainingsdaten!$H$3,"",MOD(ROW()-4,Trainingsdaten!$H$4)+1)</f>
        <v/>
      </c>
      <c r="D174" s="9" t="str">
        <f>IF($B174&gt;Trainingsdaten!$H$3,"",INDEX(Trainingsdaten!B:B,$C174+1))</f>
        <v/>
      </c>
      <c r="E174" s="7" t="str">
        <f>IF($B174&gt;Trainingsdaten!$H$3,"",INDEX(Trainingsdaten!C:C,$C174+1))</f>
        <v/>
      </c>
      <c r="F174" s="7" t="str">
        <f>IF($B174&gt;Trainingsdaten!$H$3,"",INDEX(Trainingsdaten!D:D,$C174+1))</f>
        <v/>
      </c>
      <c r="G174" s="7" t="str">
        <f>IF($B174&gt;Trainingsdaten!$H$3,"",INDEX(Trainingsdaten!E:E,$C174+1))</f>
        <v/>
      </c>
      <c r="H174" s="11" t="str">
        <f>IF($B174&gt;Trainingsdaten!$H$3,"",Trainingsdaten!$H$2)</f>
        <v/>
      </c>
      <c r="I174" s="7" t="str">
        <f>IF(B174&gt;Trainingsdaten!$H$3,"",I173+H174*N173*E174)</f>
        <v/>
      </c>
      <c r="J174" s="7" t="str">
        <f>IF(B174&gt;Trainingsdaten!$H$3,"",J173+H174*N173*F174)</f>
        <v/>
      </c>
      <c r="K174" s="7" t="str">
        <f>IF(B174&gt;Trainingsdaten!$H$3,"",K173+H174*N173)</f>
        <v/>
      </c>
      <c r="L174" s="7" t="str">
        <f>IF(B174&gt;Trainingsdaten!$H$3,"",E174*I174+F174*J174+K174)</f>
        <v/>
      </c>
      <c r="M174" s="7" t="str">
        <f>IF(B174&gt;Trainingsdaten!$H$3,"",IF(L174&gt;0,1,0))</f>
        <v/>
      </c>
      <c r="N174" s="7" t="str">
        <f>IF(B174&gt;Trainingsdaten!$H$3,"",G174-M174)</f>
        <v/>
      </c>
    </row>
    <row r="175" spans="1:14" x14ac:dyDescent="0.25">
      <c r="A175" s="9" t="str">
        <f>IF($B175&gt;Trainingsdaten!$H$3,"",MOD(ROW()-4,Trainingsdaten!$H$4)+1)</f>
        <v/>
      </c>
      <c r="B175" s="11" t="str">
        <f>IF(INT((ROW()-4)/Trainingsdaten!$H$4)+1&gt;Trainingsdaten!$H$3,"",INT((ROW()-4)/Trainingsdaten!$H$4)+1)</f>
        <v/>
      </c>
      <c r="C175" s="9" t="str">
        <f>IF(INT((ROW()-4)/Trainingsdaten!$H$4)+1&gt;Trainingsdaten!$H$3,"",MOD(ROW()-4,Trainingsdaten!$H$4)+1)</f>
        <v/>
      </c>
      <c r="D175" s="9" t="str">
        <f>IF($B175&gt;Trainingsdaten!$H$3,"",INDEX(Trainingsdaten!B:B,$C175+1))</f>
        <v/>
      </c>
      <c r="E175" s="7" t="str">
        <f>IF($B175&gt;Trainingsdaten!$H$3,"",INDEX(Trainingsdaten!C:C,$C175+1))</f>
        <v/>
      </c>
      <c r="F175" s="7" t="str">
        <f>IF($B175&gt;Trainingsdaten!$H$3,"",INDEX(Trainingsdaten!D:D,$C175+1))</f>
        <v/>
      </c>
      <c r="G175" s="7" t="str">
        <f>IF($B175&gt;Trainingsdaten!$H$3,"",INDEX(Trainingsdaten!E:E,$C175+1))</f>
        <v/>
      </c>
      <c r="H175" s="11" t="str">
        <f>IF($B175&gt;Trainingsdaten!$H$3,"",Trainingsdaten!$H$2)</f>
        <v/>
      </c>
      <c r="I175" s="7" t="str">
        <f>IF(B175&gt;Trainingsdaten!$H$3,"",I174+H175*N174*E175)</f>
        <v/>
      </c>
      <c r="J175" s="7" t="str">
        <f>IF(B175&gt;Trainingsdaten!$H$3,"",J174+H175*N174*F175)</f>
        <v/>
      </c>
      <c r="K175" s="7" t="str">
        <f>IF(B175&gt;Trainingsdaten!$H$3,"",K174+H175*N174)</f>
        <v/>
      </c>
      <c r="L175" s="7" t="str">
        <f>IF(B175&gt;Trainingsdaten!$H$3,"",E175*I175+F175*J175+K175)</f>
        <v/>
      </c>
      <c r="M175" s="7" t="str">
        <f>IF(B175&gt;Trainingsdaten!$H$3,"",IF(L175&gt;0,1,0))</f>
        <v/>
      </c>
      <c r="N175" s="7" t="str">
        <f>IF(B175&gt;Trainingsdaten!$H$3,"",G175-M175)</f>
        <v/>
      </c>
    </row>
    <row r="176" spans="1:14" x14ac:dyDescent="0.25">
      <c r="A176" s="9" t="str">
        <f>IF($B176&gt;Trainingsdaten!$H$3,"",MOD(ROW()-4,Trainingsdaten!$H$4)+1)</f>
        <v/>
      </c>
      <c r="B176" s="11" t="str">
        <f>IF(INT((ROW()-4)/Trainingsdaten!$H$4)+1&gt;Trainingsdaten!$H$3,"",INT((ROW()-4)/Trainingsdaten!$H$4)+1)</f>
        <v/>
      </c>
      <c r="C176" s="9" t="str">
        <f>IF(INT((ROW()-4)/Trainingsdaten!$H$4)+1&gt;Trainingsdaten!$H$3,"",MOD(ROW()-4,Trainingsdaten!$H$4)+1)</f>
        <v/>
      </c>
      <c r="D176" s="9" t="str">
        <f>IF($B176&gt;Trainingsdaten!$H$3,"",INDEX(Trainingsdaten!B:B,$C176+1))</f>
        <v/>
      </c>
      <c r="E176" s="7" t="str">
        <f>IF($B176&gt;Trainingsdaten!$H$3,"",INDEX(Trainingsdaten!C:C,$C176+1))</f>
        <v/>
      </c>
      <c r="F176" s="7" t="str">
        <f>IF($B176&gt;Trainingsdaten!$H$3,"",INDEX(Trainingsdaten!D:D,$C176+1))</f>
        <v/>
      </c>
      <c r="G176" s="7" t="str">
        <f>IF($B176&gt;Trainingsdaten!$H$3,"",INDEX(Trainingsdaten!E:E,$C176+1))</f>
        <v/>
      </c>
      <c r="H176" s="11" t="str">
        <f>IF($B176&gt;Trainingsdaten!$H$3,"",Trainingsdaten!$H$2)</f>
        <v/>
      </c>
      <c r="I176" s="7" t="str">
        <f>IF(B176&gt;Trainingsdaten!$H$3,"",I175+H176*N175*E176)</f>
        <v/>
      </c>
      <c r="J176" s="7" t="str">
        <f>IF(B176&gt;Trainingsdaten!$H$3,"",J175+H176*N175*F176)</f>
        <v/>
      </c>
      <c r="K176" s="7" t="str">
        <f>IF(B176&gt;Trainingsdaten!$H$3,"",K175+H176*N175)</f>
        <v/>
      </c>
      <c r="L176" s="7" t="str">
        <f>IF(B176&gt;Trainingsdaten!$H$3,"",E176*I176+F176*J176+K176)</f>
        <v/>
      </c>
      <c r="M176" s="7" t="str">
        <f>IF(B176&gt;Trainingsdaten!$H$3,"",IF(L176&gt;0,1,0))</f>
        <v/>
      </c>
      <c r="N176" s="7" t="str">
        <f>IF(B176&gt;Trainingsdaten!$H$3,"",G176-M176)</f>
        <v/>
      </c>
    </row>
    <row r="177" spans="1:14" x14ac:dyDescent="0.25">
      <c r="A177" s="9" t="str">
        <f>IF($B177&gt;Trainingsdaten!$H$3,"",MOD(ROW()-4,Trainingsdaten!$H$4)+1)</f>
        <v/>
      </c>
      <c r="B177" s="11" t="str">
        <f>IF(INT((ROW()-4)/Trainingsdaten!$H$4)+1&gt;Trainingsdaten!$H$3,"",INT((ROW()-4)/Trainingsdaten!$H$4)+1)</f>
        <v/>
      </c>
      <c r="C177" s="9" t="str">
        <f>IF(INT((ROW()-4)/Trainingsdaten!$H$4)+1&gt;Trainingsdaten!$H$3,"",MOD(ROW()-4,Trainingsdaten!$H$4)+1)</f>
        <v/>
      </c>
      <c r="D177" s="9" t="str">
        <f>IF($B177&gt;Trainingsdaten!$H$3,"",INDEX(Trainingsdaten!B:B,$C177+1))</f>
        <v/>
      </c>
      <c r="E177" s="7" t="str">
        <f>IF($B177&gt;Trainingsdaten!$H$3,"",INDEX(Trainingsdaten!C:C,$C177+1))</f>
        <v/>
      </c>
      <c r="F177" s="7" t="str">
        <f>IF($B177&gt;Trainingsdaten!$H$3,"",INDEX(Trainingsdaten!D:D,$C177+1))</f>
        <v/>
      </c>
      <c r="G177" s="7" t="str">
        <f>IF($B177&gt;Trainingsdaten!$H$3,"",INDEX(Trainingsdaten!E:E,$C177+1))</f>
        <v/>
      </c>
      <c r="H177" s="11" t="str">
        <f>IF($B177&gt;Trainingsdaten!$H$3,"",Trainingsdaten!$H$2)</f>
        <v/>
      </c>
      <c r="I177" s="7" t="str">
        <f>IF(B177&gt;Trainingsdaten!$H$3,"",I176+H177*N176*E177)</f>
        <v/>
      </c>
      <c r="J177" s="7" t="str">
        <f>IF(B177&gt;Trainingsdaten!$H$3,"",J176+H177*N176*F177)</f>
        <v/>
      </c>
      <c r="K177" s="7" t="str">
        <f>IF(B177&gt;Trainingsdaten!$H$3,"",K176+H177*N176)</f>
        <v/>
      </c>
      <c r="L177" s="7" t="str">
        <f>IF(B177&gt;Trainingsdaten!$H$3,"",E177*I177+F177*J177+K177)</f>
        <v/>
      </c>
      <c r="M177" s="7" t="str">
        <f>IF(B177&gt;Trainingsdaten!$H$3,"",IF(L177&gt;0,1,0))</f>
        <v/>
      </c>
      <c r="N177" s="7" t="str">
        <f>IF(B177&gt;Trainingsdaten!$H$3,"",G177-M177)</f>
        <v/>
      </c>
    </row>
    <row r="178" spans="1:14" x14ac:dyDescent="0.25">
      <c r="A178" s="9" t="str">
        <f>IF($B178&gt;Trainingsdaten!$H$3,"",MOD(ROW()-4,Trainingsdaten!$H$4)+1)</f>
        <v/>
      </c>
      <c r="B178" s="11" t="str">
        <f>IF(INT((ROW()-4)/Trainingsdaten!$H$4)+1&gt;Trainingsdaten!$H$3,"",INT((ROW()-4)/Trainingsdaten!$H$4)+1)</f>
        <v/>
      </c>
      <c r="C178" s="9" t="str">
        <f>IF(INT((ROW()-4)/Trainingsdaten!$H$4)+1&gt;Trainingsdaten!$H$3,"",MOD(ROW()-4,Trainingsdaten!$H$4)+1)</f>
        <v/>
      </c>
      <c r="D178" s="9" t="str">
        <f>IF($B178&gt;Trainingsdaten!$H$3,"",INDEX(Trainingsdaten!B:B,$C178+1))</f>
        <v/>
      </c>
      <c r="E178" s="7" t="str">
        <f>IF($B178&gt;Trainingsdaten!$H$3,"",INDEX(Trainingsdaten!C:C,$C178+1))</f>
        <v/>
      </c>
      <c r="F178" s="7" t="str">
        <f>IF($B178&gt;Trainingsdaten!$H$3,"",INDEX(Trainingsdaten!D:D,$C178+1))</f>
        <v/>
      </c>
      <c r="G178" s="7" t="str">
        <f>IF($B178&gt;Trainingsdaten!$H$3,"",INDEX(Trainingsdaten!E:E,$C178+1))</f>
        <v/>
      </c>
      <c r="H178" s="11" t="str">
        <f>IF($B178&gt;Trainingsdaten!$H$3,"",Trainingsdaten!$H$2)</f>
        <v/>
      </c>
      <c r="I178" s="7" t="str">
        <f>IF(B178&gt;Trainingsdaten!$H$3,"",I177+H178*N177*E178)</f>
        <v/>
      </c>
      <c r="J178" s="7" t="str">
        <f>IF(B178&gt;Trainingsdaten!$H$3,"",J177+H178*N177*F178)</f>
        <v/>
      </c>
      <c r="K178" s="7" t="str">
        <f>IF(B178&gt;Trainingsdaten!$H$3,"",K177+H178*N177)</f>
        <v/>
      </c>
      <c r="L178" s="7" t="str">
        <f>IF(B178&gt;Trainingsdaten!$H$3,"",E178*I178+F178*J178+K178)</f>
        <v/>
      </c>
      <c r="M178" s="7" t="str">
        <f>IF(B178&gt;Trainingsdaten!$H$3,"",IF(L178&gt;0,1,0))</f>
        <v/>
      </c>
      <c r="N178" s="7" t="str">
        <f>IF(B178&gt;Trainingsdaten!$H$3,"",G178-M178)</f>
        <v/>
      </c>
    </row>
    <row r="179" spans="1:14" x14ac:dyDescent="0.25">
      <c r="A179" s="9" t="str">
        <f>IF($B179&gt;Trainingsdaten!$H$3,"",MOD(ROW()-4,Trainingsdaten!$H$4)+1)</f>
        <v/>
      </c>
      <c r="B179" s="11" t="str">
        <f>IF(INT((ROW()-4)/Trainingsdaten!$H$4)+1&gt;Trainingsdaten!$H$3,"",INT((ROW()-4)/Trainingsdaten!$H$4)+1)</f>
        <v/>
      </c>
      <c r="C179" s="9" t="str">
        <f>IF(INT((ROW()-4)/Trainingsdaten!$H$4)+1&gt;Trainingsdaten!$H$3,"",MOD(ROW()-4,Trainingsdaten!$H$4)+1)</f>
        <v/>
      </c>
      <c r="D179" s="9" t="str">
        <f>IF($B179&gt;Trainingsdaten!$H$3,"",INDEX(Trainingsdaten!B:B,$C179+1))</f>
        <v/>
      </c>
      <c r="E179" s="7" t="str">
        <f>IF($B179&gt;Trainingsdaten!$H$3,"",INDEX(Trainingsdaten!C:C,$C179+1))</f>
        <v/>
      </c>
      <c r="F179" s="7" t="str">
        <f>IF($B179&gt;Trainingsdaten!$H$3,"",INDEX(Trainingsdaten!D:D,$C179+1))</f>
        <v/>
      </c>
      <c r="G179" s="7" t="str">
        <f>IF($B179&gt;Trainingsdaten!$H$3,"",INDEX(Trainingsdaten!E:E,$C179+1))</f>
        <v/>
      </c>
      <c r="H179" s="11" t="str">
        <f>IF($B179&gt;Trainingsdaten!$H$3,"",Trainingsdaten!$H$2)</f>
        <v/>
      </c>
      <c r="I179" s="7" t="str">
        <f>IF(B179&gt;Trainingsdaten!$H$3,"",I178+H179*N178*E179)</f>
        <v/>
      </c>
      <c r="J179" s="7" t="str">
        <f>IF(B179&gt;Trainingsdaten!$H$3,"",J178+H179*N178*F179)</f>
        <v/>
      </c>
      <c r="K179" s="7" t="str">
        <f>IF(B179&gt;Trainingsdaten!$H$3,"",K178+H179*N178)</f>
        <v/>
      </c>
      <c r="L179" s="7" t="str">
        <f>IF(B179&gt;Trainingsdaten!$H$3,"",E179*I179+F179*J179+K179)</f>
        <v/>
      </c>
      <c r="M179" s="7" t="str">
        <f>IF(B179&gt;Trainingsdaten!$H$3,"",IF(L179&gt;0,1,0))</f>
        <v/>
      </c>
      <c r="N179" s="7" t="str">
        <f>IF(B179&gt;Trainingsdaten!$H$3,"",G179-M179)</f>
        <v/>
      </c>
    </row>
    <row r="180" spans="1:14" x14ac:dyDescent="0.25">
      <c r="A180" s="9" t="str">
        <f>IF($B180&gt;Trainingsdaten!$H$3,"",MOD(ROW()-4,Trainingsdaten!$H$4)+1)</f>
        <v/>
      </c>
      <c r="B180" s="11" t="str">
        <f>IF(INT((ROW()-4)/Trainingsdaten!$H$4)+1&gt;Trainingsdaten!$H$3,"",INT((ROW()-4)/Trainingsdaten!$H$4)+1)</f>
        <v/>
      </c>
      <c r="C180" s="9" t="str">
        <f>IF(INT((ROW()-4)/Trainingsdaten!$H$4)+1&gt;Trainingsdaten!$H$3,"",MOD(ROW()-4,Trainingsdaten!$H$4)+1)</f>
        <v/>
      </c>
      <c r="D180" s="9" t="str">
        <f>IF($B180&gt;Trainingsdaten!$H$3,"",INDEX(Trainingsdaten!B:B,$C180+1))</f>
        <v/>
      </c>
      <c r="E180" s="7" t="str">
        <f>IF($B180&gt;Trainingsdaten!$H$3,"",INDEX(Trainingsdaten!C:C,$C180+1))</f>
        <v/>
      </c>
      <c r="F180" s="7" t="str">
        <f>IF($B180&gt;Trainingsdaten!$H$3,"",INDEX(Trainingsdaten!D:D,$C180+1))</f>
        <v/>
      </c>
      <c r="G180" s="7" t="str">
        <f>IF($B180&gt;Trainingsdaten!$H$3,"",INDEX(Trainingsdaten!E:E,$C180+1))</f>
        <v/>
      </c>
      <c r="H180" s="11" t="str">
        <f>IF($B180&gt;Trainingsdaten!$H$3,"",Trainingsdaten!$H$2)</f>
        <v/>
      </c>
      <c r="I180" s="7" t="str">
        <f>IF(B180&gt;Trainingsdaten!$H$3,"",I179+H180*N179*E180)</f>
        <v/>
      </c>
      <c r="J180" s="7" t="str">
        <f>IF(B180&gt;Trainingsdaten!$H$3,"",J179+H180*N179*F180)</f>
        <v/>
      </c>
      <c r="K180" s="7" t="str">
        <f>IF(B180&gt;Trainingsdaten!$H$3,"",K179+H180*N179)</f>
        <v/>
      </c>
      <c r="L180" s="7" t="str">
        <f>IF(B180&gt;Trainingsdaten!$H$3,"",E180*I180+F180*J180+K180)</f>
        <v/>
      </c>
      <c r="M180" s="7" t="str">
        <f>IF(B180&gt;Trainingsdaten!$H$3,"",IF(L180&gt;0,1,0))</f>
        <v/>
      </c>
      <c r="N180" s="7" t="str">
        <f>IF(B180&gt;Trainingsdaten!$H$3,"",G180-M180)</f>
        <v/>
      </c>
    </row>
    <row r="181" spans="1:14" x14ac:dyDescent="0.25">
      <c r="A181" s="9" t="str">
        <f>IF($B181&gt;Trainingsdaten!$H$3,"",MOD(ROW()-4,Trainingsdaten!$H$4)+1)</f>
        <v/>
      </c>
      <c r="B181" s="11" t="str">
        <f>IF(INT((ROW()-4)/Trainingsdaten!$H$4)+1&gt;Trainingsdaten!$H$3,"",INT((ROW()-4)/Trainingsdaten!$H$4)+1)</f>
        <v/>
      </c>
      <c r="C181" s="9" t="str">
        <f>IF(INT((ROW()-4)/Trainingsdaten!$H$4)+1&gt;Trainingsdaten!$H$3,"",MOD(ROW()-4,Trainingsdaten!$H$4)+1)</f>
        <v/>
      </c>
      <c r="D181" s="9" t="str">
        <f>IF($B181&gt;Trainingsdaten!$H$3,"",INDEX(Trainingsdaten!B:B,$C181+1))</f>
        <v/>
      </c>
      <c r="E181" s="7" t="str">
        <f>IF($B181&gt;Trainingsdaten!$H$3,"",INDEX(Trainingsdaten!C:C,$C181+1))</f>
        <v/>
      </c>
      <c r="F181" s="7" t="str">
        <f>IF($B181&gt;Trainingsdaten!$H$3,"",INDEX(Trainingsdaten!D:D,$C181+1))</f>
        <v/>
      </c>
      <c r="G181" s="7" t="str">
        <f>IF($B181&gt;Trainingsdaten!$H$3,"",INDEX(Trainingsdaten!E:E,$C181+1))</f>
        <v/>
      </c>
      <c r="H181" s="11" t="str">
        <f>IF($B181&gt;Trainingsdaten!$H$3,"",Trainingsdaten!$H$2)</f>
        <v/>
      </c>
      <c r="I181" s="7" t="str">
        <f>IF(B181&gt;Trainingsdaten!$H$3,"",I180+H181*N180*E181)</f>
        <v/>
      </c>
      <c r="J181" s="7" t="str">
        <f>IF(B181&gt;Trainingsdaten!$H$3,"",J180+H181*N180*F181)</f>
        <v/>
      </c>
      <c r="K181" s="7" t="str">
        <f>IF(B181&gt;Trainingsdaten!$H$3,"",K180+H181*N180)</f>
        <v/>
      </c>
      <c r="L181" s="7" t="str">
        <f>IF(B181&gt;Trainingsdaten!$H$3,"",E181*I181+F181*J181+K181)</f>
        <v/>
      </c>
      <c r="M181" s="7" t="str">
        <f>IF(B181&gt;Trainingsdaten!$H$3,"",IF(L181&gt;0,1,0))</f>
        <v/>
      </c>
      <c r="N181" s="7" t="str">
        <f>IF(B181&gt;Trainingsdaten!$H$3,"",G181-M181)</f>
        <v/>
      </c>
    </row>
    <row r="182" spans="1:14" x14ac:dyDescent="0.25">
      <c r="A182" s="9" t="str">
        <f>IF($B182&gt;Trainingsdaten!$H$3,"",MOD(ROW()-4,Trainingsdaten!$H$4)+1)</f>
        <v/>
      </c>
      <c r="B182" s="11" t="str">
        <f>IF(INT((ROW()-4)/Trainingsdaten!$H$4)+1&gt;Trainingsdaten!$H$3,"",INT((ROW()-4)/Trainingsdaten!$H$4)+1)</f>
        <v/>
      </c>
      <c r="C182" s="9" t="str">
        <f>IF(INT((ROW()-4)/Trainingsdaten!$H$4)+1&gt;Trainingsdaten!$H$3,"",MOD(ROW()-4,Trainingsdaten!$H$4)+1)</f>
        <v/>
      </c>
      <c r="D182" s="9" t="str">
        <f>IF($B182&gt;Trainingsdaten!$H$3,"",INDEX(Trainingsdaten!B:B,$C182+1))</f>
        <v/>
      </c>
      <c r="E182" s="7" t="str">
        <f>IF($B182&gt;Trainingsdaten!$H$3,"",INDEX(Trainingsdaten!C:C,$C182+1))</f>
        <v/>
      </c>
      <c r="F182" s="7" t="str">
        <f>IF($B182&gt;Trainingsdaten!$H$3,"",INDEX(Trainingsdaten!D:D,$C182+1))</f>
        <v/>
      </c>
      <c r="G182" s="7" t="str">
        <f>IF($B182&gt;Trainingsdaten!$H$3,"",INDEX(Trainingsdaten!E:E,$C182+1))</f>
        <v/>
      </c>
      <c r="H182" s="11" t="str">
        <f>IF($B182&gt;Trainingsdaten!$H$3,"",Trainingsdaten!$H$2)</f>
        <v/>
      </c>
      <c r="I182" s="7" t="str">
        <f>IF(B182&gt;Trainingsdaten!$H$3,"",I181+H182*N181*E182)</f>
        <v/>
      </c>
      <c r="J182" s="7" t="str">
        <f>IF(B182&gt;Trainingsdaten!$H$3,"",J181+H182*N181*F182)</f>
        <v/>
      </c>
      <c r="K182" s="7" t="str">
        <f>IF(B182&gt;Trainingsdaten!$H$3,"",K181+H182*N181)</f>
        <v/>
      </c>
      <c r="L182" s="7" t="str">
        <f>IF(B182&gt;Trainingsdaten!$H$3,"",E182*I182+F182*J182+K182)</f>
        <v/>
      </c>
      <c r="M182" s="7" t="str">
        <f>IF(B182&gt;Trainingsdaten!$H$3,"",IF(L182&gt;0,1,0))</f>
        <v/>
      </c>
      <c r="N182" s="7" t="str">
        <f>IF(B182&gt;Trainingsdaten!$H$3,"",G182-M182)</f>
        <v/>
      </c>
    </row>
    <row r="183" spans="1:14" x14ac:dyDescent="0.25">
      <c r="A183" s="9" t="str">
        <f>IF($B183&gt;Trainingsdaten!$H$3,"",MOD(ROW()-4,Trainingsdaten!$H$4)+1)</f>
        <v/>
      </c>
      <c r="B183" s="11" t="str">
        <f>IF(INT((ROW()-4)/Trainingsdaten!$H$4)+1&gt;Trainingsdaten!$H$3,"",INT((ROW()-4)/Trainingsdaten!$H$4)+1)</f>
        <v/>
      </c>
      <c r="C183" s="9" t="str">
        <f>IF(INT((ROW()-4)/Trainingsdaten!$H$4)+1&gt;Trainingsdaten!$H$3,"",MOD(ROW()-4,Trainingsdaten!$H$4)+1)</f>
        <v/>
      </c>
      <c r="D183" s="9" t="str">
        <f>IF($B183&gt;Trainingsdaten!$H$3,"",INDEX(Trainingsdaten!B:B,$C183+1))</f>
        <v/>
      </c>
      <c r="E183" s="7" t="str">
        <f>IF($B183&gt;Trainingsdaten!$H$3,"",INDEX(Trainingsdaten!C:C,$C183+1))</f>
        <v/>
      </c>
      <c r="F183" s="7" t="str">
        <f>IF($B183&gt;Trainingsdaten!$H$3,"",INDEX(Trainingsdaten!D:D,$C183+1))</f>
        <v/>
      </c>
      <c r="G183" s="7" t="str">
        <f>IF($B183&gt;Trainingsdaten!$H$3,"",INDEX(Trainingsdaten!E:E,$C183+1))</f>
        <v/>
      </c>
      <c r="H183" s="11" t="str">
        <f>IF($B183&gt;Trainingsdaten!$H$3,"",Trainingsdaten!$H$2)</f>
        <v/>
      </c>
      <c r="I183" s="7" t="str">
        <f>IF(B183&gt;Trainingsdaten!$H$3,"",I182+H183*N182*E183)</f>
        <v/>
      </c>
      <c r="J183" s="7" t="str">
        <f>IF(B183&gt;Trainingsdaten!$H$3,"",J182+H183*N182*F183)</f>
        <v/>
      </c>
      <c r="K183" s="7" t="str">
        <f>IF(B183&gt;Trainingsdaten!$H$3,"",K182+H183*N182)</f>
        <v/>
      </c>
      <c r="L183" s="7" t="str">
        <f>IF(B183&gt;Trainingsdaten!$H$3,"",E183*I183+F183*J183+K183)</f>
        <v/>
      </c>
      <c r="M183" s="7" t="str">
        <f>IF(B183&gt;Trainingsdaten!$H$3,"",IF(L183&gt;0,1,0))</f>
        <v/>
      </c>
      <c r="N183" s="7" t="str">
        <f>IF(B183&gt;Trainingsdaten!$H$3,"",G183-M183)</f>
        <v/>
      </c>
    </row>
    <row r="184" spans="1:14" x14ac:dyDescent="0.25">
      <c r="A184" s="9" t="str">
        <f>IF($B184&gt;Trainingsdaten!$H$3,"",MOD(ROW()-4,Trainingsdaten!$H$4)+1)</f>
        <v/>
      </c>
      <c r="B184" s="11" t="str">
        <f>IF(INT((ROW()-4)/Trainingsdaten!$H$4)+1&gt;Trainingsdaten!$H$3,"",INT((ROW()-4)/Trainingsdaten!$H$4)+1)</f>
        <v/>
      </c>
      <c r="C184" s="9" t="str">
        <f>IF(INT((ROW()-4)/Trainingsdaten!$H$4)+1&gt;Trainingsdaten!$H$3,"",MOD(ROW()-4,Trainingsdaten!$H$4)+1)</f>
        <v/>
      </c>
      <c r="D184" s="9" t="str">
        <f>IF($B184&gt;Trainingsdaten!$H$3,"",INDEX(Trainingsdaten!B:B,$C184+1))</f>
        <v/>
      </c>
      <c r="E184" s="7" t="str">
        <f>IF($B184&gt;Trainingsdaten!$H$3,"",INDEX(Trainingsdaten!C:C,$C184+1))</f>
        <v/>
      </c>
      <c r="F184" s="7" t="str">
        <f>IF($B184&gt;Trainingsdaten!$H$3,"",INDEX(Trainingsdaten!D:D,$C184+1))</f>
        <v/>
      </c>
      <c r="G184" s="7" t="str">
        <f>IF($B184&gt;Trainingsdaten!$H$3,"",INDEX(Trainingsdaten!E:E,$C184+1))</f>
        <v/>
      </c>
      <c r="H184" s="11" t="str">
        <f>IF($B184&gt;Trainingsdaten!$H$3,"",Trainingsdaten!$H$2)</f>
        <v/>
      </c>
      <c r="I184" s="7" t="str">
        <f>IF(B184&gt;Trainingsdaten!$H$3,"",I183+H184*N183*E184)</f>
        <v/>
      </c>
      <c r="J184" s="7" t="str">
        <f>IF(B184&gt;Trainingsdaten!$H$3,"",J183+H184*N183*F184)</f>
        <v/>
      </c>
      <c r="K184" s="7" t="str">
        <f>IF(B184&gt;Trainingsdaten!$H$3,"",K183+H184*N183)</f>
        <v/>
      </c>
      <c r="L184" s="7" t="str">
        <f>IF(B184&gt;Trainingsdaten!$H$3,"",E184*I184+F184*J184+K184)</f>
        <v/>
      </c>
      <c r="M184" s="7" t="str">
        <f>IF(B184&gt;Trainingsdaten!$H$3,"",IF(L184&gt;0,1,0))</f>
        <v/>
      </c>
      <c r="N184" s="7" t="str">
        <f>IF(B184&gt;Trainingsdaten!$H$3,"",G184-M184)</f>
        <v/>
      </c>
    </row>
    <row r="185" spans="1:14" x14ac:dyDescent="0.25">
      <c r="A185" s="9" t="str">
        <f>IF($B185&gt;Trainingsdaten!$H$3,"",MOD(ROW()-4,Trainingsdaten!$H$4)+1)</f>
        <v/>
      </c>
      <c r="B185" s="11" t="str">
        <f>IF(INT((ROW()-4)/Trainingsdaten!$H$4)+1&gt;Trainingsdaten!$H$3,"",INT((ROW()-4)/Trainingsdaten!$H$4)+1)</f>
        <v/>
      </c>
      <c r="C185" s="9" t="str">
        <f>IF(INT((ROW()-4)/Trainingsdaten!$H$4)+1&gt;Trainingsdaten!$H$3,"",MOD(ROW()-4,Trainingsdaten!$H$4)+1)</f>
        <v/>
      </c>
      <c r="D185" s="9" t="str">
        <f>IF($B185&gt;Trainingsdaten!$H$3,"",INDEX(Trainingsdaten!B:B,$C185+1))</f>
        <v/>
      </c>
      <c r="E185" s="7" t="str">
        <f>IF($B185&gt;Trainingsdaten!$H$3,"",INDEX(Trainingsdaten!C:C,$C185+1))</f>
        <v/>
      </c>
      <c r="F185" s="7" t="str">
        <f>IF($B185&gt;Trainingsdaten!$H$3,"",INDEX(Trainingsdaten!D:D,$C185+1))</f>
        <v/>
      </c>
      <c r="G185" s="7" t="str">
        <f>IF($B185&gt;Trainingsdaten!$H$3,"",INDEX(Trainingsdaten!E:E,$C185+1))</f>
        <v/>
      </c>
      <c r="H185" s="11" t="str">
        <f>IF($B185&gt;Trainingsdaten!$H$3,"",Trainingsdaten!$H$2)</f>
        <v/>
      </c>
      <c r="I185" s="7" t="str">
        <f>IF(B185&gt;Trainingsdaten!$H$3,"",I184+H185*N184*E185)</f>
        <v/>
      </c>
      <c r="J185" s="7" t="str">
        <f>IF(B185&gt;Trainingsdaten!$H$3,"",J184+H185*N184*F185)</f>
        <v/>
      </c>
      <c r="K185" s="7" t="str">
        <f>IF(B185&gt;Trainingsdaten!$H$3,"",K184+H185*N184)</f>
        <v/>
      </c>
      <c r="L185" s="7" t="str">
        <f>IF(B185&gt;Trainingsdaten!$H$3,"",E185*I185+F185*J185+K185)</f>
        <v/>
      </c>
      <c r="M185" s="7" t="str">
        <f>IF(B185&gt;Trainingsdaten!$H$3,"",IF(L185&gt;0,1,0))</f>
        <v/>
      </c>
      <c r="N185" s="7" t="str">
        <f>IF(B185&gt;Trainingsdaten!$H$3,"",G185-M185)</f>
        <v/>
      </c>
    </row>
    <row r="186" spans="1:14" x14ac:dyDescent="0.25">
      <c r="A186" s="9" t="str">
        <f>IF($B186&gt;Trainingsdaten!$H$3,"",MOD(ROW()-4,Trainingsdaten!$H$4)+1)</f>
        <v/>
      </c>
      <c r="B186" s="11" t="str">
        <f>IF(INT((ROW()-4)/Trainingsdaten!$H$4)+1&gt;Trainingsdaten!$H$3,"",INT((ROW()-4)/Trainingsdaten!$H$4)+1)</f>
        <v/>
      </c>
      <c r="C186" s="9" t="str">
        <f>IF(INT((ROW()-4)/Trainingsdaten!$H$4)+1&gt;Trainingsdaten!$H$3,"",MOD(ROW()-4,Trainingsdaten!$H$4)+1)</f>
        <v/>
      </c>
      <c r="D186" s="9" t="str">
        <f>IF($B186&gt;Trainingsdaten!$H$3,"",INDEX(Trainingsdaten!B:B,$C186+1))</f>
        <v/>
      </c>
      <c r="E186" s="7" t="str">
        <f>IF($B186&gt;Trainingsdaten!$H$3,"",INDEX(Trainingsdaten!C:C,$C186+1))</f>
        <v/>
      </c>
      <c r="F186" s="7" t="str">
        <f>IF($B186&gt;Trainingsdaten!$H$3,"",INDEX(Trainingsdaten!D:D,$C186+1))</f>
        <v/>
      </c>
      <c r="G186" s="7" t="str">
        <f>IF($B186&gt;Trainingsdaten!$H$3,"",INDEX(Trainingsdaten!E:E,$C186+1))</f>
        <v/>
      </c>
      <c r="H186" s="11" t="str">
        <f>IF($B186&gt;Trainingsdaten!$H$3,"",Trainingsdaten!$H$2)</f>
        <v/>
      </c>
      <c r="I186" s="7" t="str">
        <f>IF(B186&gt;Trainingsdaten!$H$3,"",I185+H186*N185*E186)</f>
        <v/>
      </c>
      <c r="J186" s="7" t="str">
        <f>IF(B186&gt;Trainingsdaten!$H$3,"",J185+H186*N185*F186)</f>
        <v/>
      </c>
      <c r="K186" s="7" t="str">
        <f>IF(B186&gt;Trainingsdaten!$H$3,"",K185+H186*N185)</f>
        <v/>
      </c>
      <c r="L186" s="7" t="str">
        <f>IF(B186&gt;Trainingsdaten!$H$3,"",E186*I186+F186*J186+K186)</f>
        <v/>
      </c>
      <c r="M186" s="7" t="str">
        <f>IF(B186&gt;Trainingsdaten!$H$3,"",IF(L186&gt;0,1,0))</f>
        <v/>
      </c>
      <c r="N186" s="7" t="str">
        <f>IF(B186&gt;Trainingsdaten!$H$3,"",G186-M186)</f>
        <v/>
      </c>
    </row>
    <row r="187" spans="1:14" x14ac:dyDescent="0.25">
      <c r="A187" s="9" t="str">
        <f>IF($B187&gt;Trainingsdaten!$H$3,"",MOD(ROW()-4,Trainingsdaten!$H$4)+1)</f>
        <v/>
      </c>
      <c r="B187" s="11" t="str">
        <f>IF(INT((ROW()-4)/Trainingsdaten!$H$4)+1&gt;Trainingsdaten!$H$3,"",INT((ROW()-4)/Trainingsdaten!$H$4)+1)</f>
        <v/>
      </c>
      <c r="C187" s="9" t="str">
        <f>IF(INT((ROW()-4)/Trainingsdaten!$H$4)+1&gt;Trainingsdaten!$H$3,"",MOD(ROW()-4,Trainingsdaten!$H$4)+1)</f>
        <v/>
      </c>
      <c r="D187" s="9" t="str">
        <f>IF($B187&gt;Trainingsdaten!$H$3,"",INDEX(Trainingsdaten!B:B,$C187+1))</f>
        <v/>
      </c>
      <c r="E187" s="7" t="str">
        <f>IF($B187&gt;Trainingsdaten!$H$3,"",INDEX(Trainingsdaten!C:C,$C187+1))</f>
        <v/>
      </c>
      <c r="F187" s="7" t="str">
        <f>IF($B187&gt;Trainingsdaten!$H$3,"",INDEX(Trainingsdaten!D:D,$C187+1))</f>
        <v/>
      </c>
      <c r="G187" s="7" t="str">
        <f>IF($B187&gt;Trainingsdaten!$H$3,"",INDEX(Trainingsdaten!E:E,$C187+1))</f>
        <v/>
      </c>
      <c r="H187" s="11" t="str">
        <f>IF($B187&gt;Trainingsdaten!$H$3,"",Trainingsdaten!$H$2)</f>
        <v/>
      </c>
      <c r="I187" s="7" t="str">
        <f>IF(B187&gt;Trainingsdaten!$H$3,"",I186+H187*N186*E187)</f>
        <v/>
      </c>
      <c r="J187" s="7" t="str">
        <f>IF(B187&gt;Trainingsdaten!$H$3,"",J186+H187*N186*F187)</f>
        <v/>
      </c>
      <c r="K187" s="7" t="str">
        <f>IF(B187&gt;Trainingsdaten!$H$3,"",K186+H187*N186)</f>
        <v/>
      </c>
      <c r="L187" s="7" t="str">
        <f>IF(B187&gt;Trainingsdaten!$H$3,"",E187*I187+F187*J187+K187)</f>
        <v/>
      </c>
      <c r="M187" s="7" t="str">
        <f>IF(B187&gt;Trainingsdaten!$H$3,"",IF(L187&gt;0,1,0))</f>
        <v/>
      </c>
      <c r="N187" s="7" t="str">
        <f>IF(B187&gt;Trainingsdaten!$H$3,"",G187-M187)</f>
        <v/>
      </c>
    </row>
    <row r="188" spans="1:14" x14ac:dyDescent="0.25">
      <c r="A188" s="9" t="str">
        <f>IF($B188&gt;Trainingsdaten!$H$3,"",MOD(ROW()-4,Trainingsdaten!$H$4)+1)</f>
        <v/>
      </c>
      <c r="B188" s="11" t="str">
        <f>IF(INT((ROW()-4)/Trainingsdaten!$H$4)+1&gt;Trainingsdaten!$H$3,"",INT((ROW()-4)/Trainingsdaten!$H$4)+1)</f>
        <v/>
      </c>
      <c r="C188" s="9" t="str">
        <f>IF(INT((ROW()-4)/Trainingsdaten!$H$4)+1&gt;Trainingsdaten!$H$3,"",MOD(ROW()-4,Trainingsdaten!$H$4)+1)</f>
        <v/>
      </c>
      <c r="D188" s="9" t="str">
        <f>IF($B188&gt;Trainingsdaten!$H$3,"",INDEX(Trainingsdaten!B:B,$C188+1))</f>
        <v/>
      </c>
      <c r="E188" s="7" t="str">
        <f>IF($B188&gt;Trainingsdaten!$H$3,"",INDEX(Trainingsdaten!C:C,$C188+1))</f>
        <v/>
      </c>
      <c r="F188" s="7" t="str">
        <f>IF($B188&gt;Trainingsdaten!$H$3,"",INDEX(Trainingsdaten!D:D,$C188+1))</f>
        <v/>
      </c>
      <c r="G188" s="7" t="str">
        <f>IF($B188&gt;Trainingsdaten!$H$3,"",INDEX(Trainingsdaten!E:E,$C188+1))</f>
        <v/>
      </c>
      <c r="H188" s="11" t="str">
        <f>IF($B188&gt;Trainingsdaten!$H$3,"",Trainingsdaten!$H$2)</f>
        <v/>
      </c>
      <c r="I188" s="7" t="str">
        <f>IF(B188&gt;Trainingsdaten!$H$3,"",I187+H188*N187*E188)</f>
        <v/>
      </c>
      <c r="J188" s="7" t="str">
        <f>IF(B188&gt;Trainingsdaten!$H$3,"",J187+H188*N187*F188)</f>
        <v/>
      </c>
      <c r="K188" s="7" t="str">
        <f>IF(B188&gt;Trainingsdaten!$H$3,"",K187+H188*N187)</f>
        <v/>
      </c>
      <c r="L188" s="7" t="str">
        <f>IF(B188&gt;Trainingsdaten!$H$3,"",E188*I188+F188*J188+K188)</f>
        <v/>
      </c>
      <c r="M188" s="7" t="str">
        <f>IF(B188&gt;Trainingsdaten!$H$3,"",IF(L188&gt;0,1,0))</f>
        <v/>
      </c>
      <c r="N188" s="7" t="str">
        <f>IF(B188&gt;Trainingsdaten!$H$3,"",G188-M188)</f>
        <v/>
      </c>
    </row>
    <row r="189" spans="1:14" x14ac:dyDescent="0.25">
      <c r="A189" s="9" t="str">
        <f>IF($B189&gt;Trainingsdaten!$H$3,"",MOD(ROW()-4,Trainingsdaten!$H$4)+1)</f>
        <v/>
      </c>
      <c r="B189" s="11" t="str">
        <f>IF(INT((ROW()-4)/Trainingsdaten!$H$4)+1&gt;Trainingsdaten!$H$3,"",INT((ROW()-4)/Trainingsdaten!$H$4)+1)</f>
        <v/>
      </c>
      <c r="C189" s="9" t="str">
        <f>IF(INT((ROW()-4)/Trainingsdaten!$H$4)+1&gt;Trainingsdaten!$H$3,"",MOD(ROW()-4,Trainingsdaten!$H$4)+1)</f>
        <v/>
      </c>
      <c r="D189" s="9" t="str">
        <f>IF($B189&gt;Trainingsdaten!$H$3,"",INDEX(Trainingsdaten!B:B,$C189+1))</f>
        <v/>
      </c>
      <c r="E189" s="7" t="str">
        <f>IF($B189&gt;Trainingsdaten!$H$3,"",INDEX(Trainingsdaten!C:C,$C189+1))</f>
        <v/>
      </c>
      <c r="F189" s="7" t="str">
        <f>IF($B189&gt;Trainingsdaten!$H$3,"",INDEX(Trainingsdaten!D:D,$C189+1))</f>
        <v/>
      </c>
      <c r="G189" s="7" t="str">
        <f>IF($B189&gt;Trainingsdaten!$H$3,"",INDEX(Trainingsdaten!E:E,$C189+1))</f>
        <v/>
      </c>
      <c r="H189" s="11" t="str">
        <f>IF($B189&gt;Trainingsdaten!$H$3,"",Trainingsdaten!$H$2)</f>
        <v/>
      </c>
      <c r="I189" s="7" t="str">
        <f>IF(B189&gt;Trainingsdaten!$H$3,"",I188+H189*N188*E189)</f>
        <v/>
      </c>
      <c r="J189" s="7" t="str">
        <f>IF(B189&gt;Trainingsdaten!$H$3,"",J188+H189*N188*F189)</f>
        <v/>
      </c>
      <c r="K189" s="7" t="str">
        <f>IF(B189&gt;Trainingsdaten!$H$3,"",K188+H189*N188)</f>
        <v/>
      </c>
      <c r="L189" s="7" t="str">
        <f>IF(B189&gt;Trainingsdaten!$H$3,"",E189*I189+F189*J189+K189)</f>
        <v/>
      </c>
      <c r="M189" s="7" t="str">
        <f>IF(B189&gt;Trainingsdaten!$H$3,"",IF(L189&gt;0,1,0))</f>
        <v/>
      </c>
      <c r="N189" s="7" t="str">
        <f>IF(B189&gt;Trainingsdaten!$H$3,"",G189-M189)</f>
        <v/>
      </c>
    </row>
    <row r="190" spans="1:14" x14ac:dyDescent="0.25">
      <c r="A190" s="9" t="str">
        <f>IF($B190&gt;Trainingsdaten!$H$3,"",MOD(ROW()-4,Trainingsdaten!$H$4)+1)</f>
        <v/>
      </c>
      <c r="B190" s="11" t="str">
        <f>IF(INT((ROW()-4)/Trainingsdaten!$H$4)+1&gt;Trainingsdaten!$H$3,"",INT((ROW()-4)/Trainingsdaten!$H$4)+1)</f>
        <v/>
      </c>
      <c r="C190" s="9" t="str">
        <f>IF(INT((ROW()-4)/Trainingsdaten!$H$4)+1&gt;Trainingsdaten!$H$3,"",MOD(ROW()-4,Trainingsdaten!$H$4)+1)</f>
        <v/>
      </c>
      <c r="D190" s="9" t="str">
        <f>IF($B190&gt;Trainingsdaten!$H$3,"",INDEX(Trainingsdaten!B:B,$C190+1))</f>
        <v/>
      </c>
      <c r="E190" s="7" t="str">
        <f>IF($B190&gt;Trainingsdaten!$H$3,"",INDEX(Trainingsdaten!C:C,$C190+1))</f>
        <v/>
      </c>
      <c r="F190" s="7" t="str">
        <f>IF($B190&gt;Trainingsdaten!$H$3,"",INDEX(Trainingsdaten!D:D,$C190+1))</f>
        <v/>
      </c>
      <c r="G190" s="7" t="str">
        <f>IF($B190&gt;Trainingsdaten!$H$3,"",INDEX(Trainingsdaten!E:E,$C190+1))</f>
        <v/>
      </c>
      <c r="H190" s="11" t="str">
        <f>IF($B190&gt;Trainingsdaten!$H$3,"",Trainingsdaten!$H$2)</f>
        <v/>
      </c>
      <c r="I190" s="7" t="str">
        <f>IF(B190&gt;Trainingsdaten!$H$3,"",I189+H190*N189*E190)</f>
        <v/>
      </c>
      <c r="J190" s="7" t="str">
        <f>IF(B190&gt;Trainingsdaten!$H$3,"",J189+H190*N189*F190)</f>
        <v/>
      </c>
      <c r="K190" s="7" t="str">
        <f>IF(B190&gt;Trainingsdaten!$H$3,"",K189+H190*N189)</f>
        <v/>
      </c>
      <c r="L190" s="7" t="str">
        <f>IF(B190&gt;Trainingsdaten!$H$3,"",E190*I190+F190*J190+K190)</f>
        <v/>
      </c>
      <c r="M190" s="7" t="str">
        <f>IF(B190&gt;Trainingsdaten!$H$3,"",IF(L190&gt;0,1,0))</f>
        <v/>
      </c>
      <c r="N190" s="7" t="str">
        <f>IF(B190&gt;Trainingsdaten!$H$3,"",G190-M190)</f>
        <v/>
      </c>
    </row>
    <row r="191" spans="1:14" x14ac:dyDescent="0.25">
      <c r="A191" s="9" t="str">
        <f>IF($B191&gt;Trainingsdaten!$H$3,"",MOD(ROW()-4,Trainingsdaten!$H$4)+1)</f>
        <v/>
      </c>
      <c r="B191" s="11" t="str">
        <f>IF(INT((ROW()-4)/Trainingsdaten!$H$4)+1&gt;Trainingsdaten!$H$3,"",INT((ROW()-4)/Trainingsdaten!$H$4)+1)</f>
        <v/>
      </c>
      <c r="C191" s="9" t="str">
        <f>IF(INT((ROW()-4)/Trainingsdaten!$H$4)+1&gt;Trainingsdaten!$H$3,"",MOD(ROW()-4,Trainingsdaten!$H$4)+1)</f>
        <v/>
      </c>
      <c r="D191" s="9" t="str">
        <f>IF($B191&gt;Trainingsdaten!$H$3,"",INDEX(Trainingsdaten!B:B,$C191+1))</f>
        <v/>
      </c>
      <c r="E191" s="7" t="str">
        <f>IF($B191&gt;Trainingsdaten!$H$3,"",INDEX(Trainingsdaten!C:C,$C191+1))</f>
        <v/>
      </c>
      <c r="F191" s="7" t="str">
        <f>IF($B191&gt;Trainingsdaten!$H$3,"",INDEX(Trainingsdaten!D:D,$C191+1))</f>
        <v/>
      </c>
      <c r="G191" s="7" t="str">
        <f>IF($B191&gt;Trainingsdaten!$H$3,"",INDEX(Trainingsdaten!E:E,$C191+1))</f>
        <v/>
      </c>
      <c r="H191" s="11" t="str">
        <f>IF($B191&gt;Trainingsdaten!$H$3,"",Trainingsdaten!$H$2)</f>
        <v/>
      </c>
      <c r="I191" s="7" t="str">
        <f>IF(B191&gt;Trainingsdaten!$H$3,"",I190+H191*N190*E191)</f>
        <v/>
      </c>
      <c r="J191" s="7" t="str">
        <f>IF(B191&gt;Trainingsdaten!$H$3,"",J190+H191*N190*F191)</f>
        <v/>
      </c>
      <c r="K191" s="7" t="str">
        <f>IF(B191&gt;Trainingsdaten!$H$3,"",K190+H191*N190)</f>
        <v/>
      </c>
      <c r="L191" s="7" t="str">
        <f>IF(B191&gt;Trainingsdaten!$H$3,"",E191*I191+F191*J191+K191)</f>
        <v/>
      </c>
      <c r="M191" s="7" t="str">
        <f>IF(B191&gt;Trainingsdaten!$H$3,"",IF(L191&gt;0,1,0))</f>
        <v/>
      </c>
      <c r="N191" s="7" t="str">
        <f>IF(B191&gt;Trainingsdaten!$H$3,"",G191-M191)</f>
        <v/>
      </c>
    </row>
    <row r="192" spans="1:14" x14ac:dyDescent="0.25">
      <c r="A192" s="9" t="str">
        <f>IF($B192&gt;Trainingsdaten!$H$3,"",MOD(ROW()-4,Trainingsdaten!$H$4)+1)</f>
        <v/>
      </c>
      <c r="B192" s="11" t="str">
        <f>IF(INT((ROW()-4)/Trainingsdaten!$H$4)+1&gt;Trainingsdaten!$H$3,"",INT((ROW()-4)/Trainingsdaten!$H$4)+1)</f>
        <v/>
      </c>
      <c r="C192" s="9" t="str">
        <f>IF(INT((ROW()-4)/Trainingsdaten!$H$4)+1&gt;Trainingsdaten!$H$3,"",MOD(ROW()-4,Trainingsdaten!$H$4)+1)</f>
        <v/>
      </c>
      <c r="D192" s="9" t="str">
        <f>IF($B192&gt;Trainingsdaten!$H$3,"",INDEX(Trainingsdaten!B:B,$C192+1))</f>
        <v/>
      </c>
      <c r="E192" s="7" t="str">
        <f>IF($B192&gt;Trainingsdaten!$H$3,"",INDEX(Trainingsdaten!C:C,$C192+1))</f>
        <v/>
      </c>
      <c r="F192" s="7" t="str">
        <f>IF($B192&gt;Trainingsdaten!$H$3,"",INDEX(Trainingsdaten!D:D,$C192+1))</f>
        <v/>
      </c>
      <c r="G192" s="7" t="str">
        <f>IF($B192&gt;Trainingsdaten!$H$3,"",INDEX(Trainingsdaten!E:E,$C192+1))</f>
        <v/>
      </c>
      <c r="H192" s="11" t="str">
        <f>IF($B192&gt;Trainingsdaten!$H$3,"",Trainingsdaten!$H$2)</f>
        <v/>
      </c>
      <c r="I192" s="7" t="str">
        <f>IF(B192&gt;Trainingsdaten!$H$3,"",I191+H192*N191*E192)</f>
        <v/>
      </c>
      <c r="J192" s="7" t="str">
        <f>IF(B192&gt;Trainingsdaten!$H$3,"",J191+H192*N191*F192)</f>
        <v/>
      </c>
      <c r="K192" s="7" t="str">
        <f>IF(B192&gt;Trainingsdaten!$H$3,"",K191+H192*N191)</f>
        <v/>
      </c>
      <c r="L192" s="7" t="str">
        <f>IF(B192&gt;Trainingsdaten!$H$3,"",E192*I192+F192*J192+K192)</f>
        <v/>
      </c>
      <c r="M192" s="7" t="str">
        <f>IF(B192&gt;Trainingsdaten!$H$3,"",IF(L192&gt;0,1,0))</f>
        <v/>
      </c>
      <c r="N192" s="7" t="str">
        <f>IF(B192&gt;Trainingsdaten!$H$3,"",G192-M192)</f>
        <v/>
      </c>
    </row>
    <row r="193" spans="1:14" x14ac:dyDescent="0.25">
      <c r="A193" s="9" t="str">
        <f>IF($B193&gt;Trainingsdaten!$H$3,"",MOD(ROW()-4,Trainingsdaten!$H$4)+1)</f>
        <v/>
      </c>
      <c r="B193" s="11" t="str">
        <f>IF(INT((ROW()-4)/Trainingsdaten!$H$4)+1&gt;Trainingsdaten!$H$3,"",INT((ROW()-4)/Trainingsdaten!$H$4)+1)</f>
        <v/>
      </c>
      <c r="C193" s="9" t="str">
        <f>IF(INT((ROW()-4)/Trainingsdaten!$H$4)+1&gt;Trainingsdaten!$H$3,"",MOD(ROW()-4,Trainingsdaten!$H$4)+1)</f>
        <v/>
      </c>
      <c r="D193" s="9" t="str">
        <f>IF($B193&gt;Trainingsdaten!$H$3,"",INDEX(Trainingsdaten!B:B,$C193+1))</f>
        <v/>
      </c>
      <c r="E193" s="7" t="str">
        <f>IF($B193&gt;Trainingsdaten!$H$3,"",INDEX(Trainingsdaten!C:C,$C193+1))</f>
        <v/>
      </c>
      <c r="F193" s="7" t="str">
        <f>IF($B193&gt;Trainingsdaten!$H$3,"",INDEX(Trainingsdaten!D:D,$C193+1))</f>
        <v/>
      </c>
      <c r="G193" s="7" t="str">
        <f>IF($B193&gt;Trainingsdaten!$H$3,"",INDEX(Trainingsdaten!E:E,$C193+1))</f>
        <v/>
      </c>
      <c r="H193" s="11" t="str">
        <f>IF($B193&gt;Trainingsdaten!$H$3,"",Trainingsdaten!$H$2)</f>
        <v/>
      </c>
      <c r="I193" s="7" t="str">
        <f>IF(B193&gt;Trainingsdaten!$H$3,"",I192+H193*N192*E193)</f>
        <v/>
      </c>
      <c r="J193" s="7" t="str">
        <f>IF(B193&gt;Trainingsdaten!$H$3,"",J192+H193*N192*F193)</f>
        <v/>
      </c>
      <c r="K193" s="7" t="str">
        <f>IF(B193&gt;Trainingsdaten!$H$3,"",K192+H193*N192)</f>
        <v/>
      </c>
      <c r="L193" s="7" t="str">
        <f>IF(B193&gt;Trainingsdaten!$H$3,"",E193*I193+F193*J193+K193)</f>
        <v/>
      </c>
      <c r="M193" s="7" t="str">
        <f>IF(B193&gt;Trainingsdaten!$H$3,"",IF(L193&gt;0,1,0))</f>
        <v/>
      </c>
      <c r="N193" s="7" t="str">
        <f>IF(B193&gt;Trainingsdaten!$H$3,"",G193-M193)</f>
        <v/>
      </c>
    </row>
    <row r="194" spans="1:14" x14ac:dyDescent="0.25">
      <c r="A194" s="9" t="str">
        <f>IF($B194&gt;Trainingsdaten!$H$3,"",MOD(ROW()-4,Trainingsdaten!$H$4)+1)</f>
        <v/>
      </c>
      <c r="B194" s="11" t="str">
        <f>IF(INT((ROW()-4)/Trainingsdaten!$H$4)+1&gt;Trainingsdaten!$H$3,"",INT((ROW()-4)/Trainingsdaten!$H$4)+1)</f>
        <v/>
      </c>
      <c r="C194" s="9" t="str">
        <f>IF(INT((ROW()-4)/Trainingsdaten!$H$4)+1&gt;Trainingsdaten!$H$3,"",MOD(ROW()-4,Trainingsdaten!$H$4)+1)</f>
        <v/>
      </c>
      <c r="D194" s="9" t="str">
        <f>IF($B194&gt;Trainingsdaten!$H$3,"",INDEX(Trainingsdaten!B:B,$C194+1))</f>
        <v/>
      </c>
      <c r="E194" s="7" t="str">
        <f>IF($B194&gt;Trainingsdaten!$H$3,"",INDEX(Trainingsdaten!C:C,$C194+1))</f>
        <v/>
      </c>
      <c r="F194" s="7" t="str">
        <f>IF($B194&gt;Trainingsdaten!$H$3,"",INDEX(Trainingsdaten!D:D,$C194+1))</f>
        <v/>
      </c>
      <c r="G194" s="7" t="str">
        <f>IF($B194&gt;Trainingsdaten!$H$3,"",INDEX(Trainingsdaten!E:E,$C194+1))</f>
        <v/>
      </c>
      <c r="H194" s="11" t="str">
        <f>IF($B194&gt;Trainingsdaten!$H$3,"",Trainingsdaten!$H$2)</f>
        <v/>
      </c>
      <c r="I194" s="7" t="str">
        <f>IF(B194&gt;Trainingsdaten!$H$3,"",I193+H194*N193*E194)</f>
        <v/>
      </c>
      <c r="J194" s="7" t="str">
        <f>IF(B194&gt;Trainingsdaten!$H$3,"",J193+H194*N193*F194)</f>
        <v/>
      </c>
      <c r="K194" s="7" t="str">
        <f>IF(B194&gt;Trainingsdaten!$H$3,"",K193+H194*N193)</f>
        <v/>
      </c>
      <c r="L194" s="7" t="str">
        <f>IF(B194&gt;Trainingsdaten!$H$3,"",E194*I194+F194*J194+K194)</f>
        <v/>
      </c>
      <c r="M194" s="7" t="str">
        <f>IF(B194&gt;Trainingsdaten!$H$3,"",IF(L194&gt;0,1,0))</f>
        <v/>
      </c>
      <c r="N194" s="7" t="str">
        <f>IF(B194&gt;Trainingsdaten!$H$3,"",G194-M194)</f>
        <v/>
      </c>
    </row>
    <row r="195" spans="1:14" x14ac:dyDescent="0.25">
      <c r="A195" s="9" t="str">
        <f>IF($B195&gt;Trainingsdaten!$H$3,"",MOD(ROW()-4,Trainingsdaten!$H$4)+1)</f>
        <v/>
      </c>
      <c r="B195" s="11" t="str">
        <f>IF(INT((ROW()-4)/Trainingsdaten!$H$4)+1&gt;Trainingsdaten!$H$3,"",INT((ROW()-4)/Trainingsdaten!$H$4)+1)</f>
        <v/>
      </c>
      <c r="C195" s="9" t="str">
        <f>IF(INT((ROW()-4)/Trainingsdaten!$H$4)+1&gt;Trainingsdaten!$H$3,"",MOD(ROW()-4,Trainingsdaten!$H$4)+1)</f>
        <v/>
      </c>
      <c r="D195" s="9" t="str">
        <f>IF($B195&gt;Trainingsdaten!$H$3,"",INDEX(Trainingsdaten!B:B,$C195+1))</f>
        <v/>
      </c>
      <c r="E195" s="7" t="str">
        <f>IF($B195&gt;Trainingsdaten!$H$3,"",INDEX(Trainingsdaten!C:C,$C195+1))</f>
        <v/>
      </c>
      <c r="F195" s="7" t="str">
        <f>IF($B195&gt;Trainingsdaten!$H$3,"",INDEX(Trainingsdaten!D:D,$C195+1))</f>
        <v/>
      </c>
      <c r="G195" s="7" t="str">
        <f>IF($B195&gt;Trainingsdaten!$H$3,"",INDEX(Trainingsdaten!E:E,$C195+1))</f>
        <v/>
      </c>
      <c r="H195" s="11" t="str">
        <f>IF($B195&gt;Trainingsdaten!$H$3,"",Trainingsdaten!$H$2)</f>
        <v/>
      </c>
      <c r="I195" s="7" t="str">
        <f>IF(B195&gt;Trainingsdaten!$H$3,"",I194+H195*N194*E195)</f>
        <v/>
      </c>
      <c r="J195" s="7" t="str">
        <f>IF(B195&gt;Trainingsdaten!$H$3,"",J194+H195*N194*F195)</f>
        <v/>
      </c>
      <c r="K195" s="7" t="str">
        <f>IF(B195&gt;Trainingsdaten!$H$3,"",K194+H195*N194)</f>
        <v/>
      </c>
      <c r="L195" s="7" t="str">
        <f>IF(B195&gt;Trainingsdaten!$H$3,"",E195*I195+F195*J195+K195)</f>
        <v/>
      </c>
      <c r="M195" s="7" t="str">
        <f>IF(B195&gt;Trainingsdaten!$H$3,"",IF(L195&gt;0,1,0))</f>
        <v/>
      </c>
      <c r="N195" s="7" t="str">
        <f>IF(B195&gt;Trainingsdaten!$H$3,"",G195-M195)</f>
        <v/>
      </c>
    </row>
    <row r="196" spans="1:14" x14ac:dyDescent="0.25">
      <c r="A196" s="9" t="str">
        <f>IF($B196&gt;Trainingsdaten!$H$3,"",MOD(ROW()-4,Trainingsdaten!$H$4)+1)</f>
        <v/>
      </c>
      <c r="B196" s="11" t="str">
        <f>IF(INT((ROW()-4)/Trainingsdaten!$H$4)+1&gt;Trainingsdaten!$H$3,"",INT((ROW()-4)/Trainingsdaten!$H$4)+1)</f>
        <v/>
      </c>
      <c r="C196" s="9" t="str">
        <f>IF(INT((ROW()-4)/Trainingsdaten!$H$4)+1&gt;Trainingsdaten!$H$3,"",MOD(ROW()-4,Trainingsdaten!$H$4)+1)</f>
        <v/>
      </c>
      <c r="D196" s="9" t="str">
        <f>IF($B196&gt;Trainingsdaten!$H$3,"",INDEX(Trainingsdaten!B:B,$C196+1))</f>
        <v/>
      </c>
      <c r="E196" s="7" t="str">
        <f>IF($B196&gt;Trainingsdaten!$H$3,"",INDEX(Trainingsdaten!C:C,$C196+1))</f>
        <v/>
      </c>
      <c r="F196" s="7" t="str">
        <f>IF($B196&gt;Trainingsdaten!$H$3,"",INDEX(Trainingsdaten!D:D,$C196+1))</f>
        <v/>
      </c>
      <c r="G196" s="7" t="str">
        <f>IF($B196&gt;Trainingsdaten!$H$3,"",INDEX(Trainingsdaten!E:E,$C196+1))</f>
        <v/>
      </c>
      <c r="H196" s="11" t="str">
        <f>IF($B196&gt;Trainingsdaten!$H$3,"",Trainingsdaten!$H$2)</f>
        <v/>
      </c>
      <c r="I196" s="7" t="str">
        <f>IF(B196&gt;Trainingsdaten!$H$3,"",I195+H196*N195*E196)</f>
        <v/>
      </c>
      <c r="J196" s="7" t="str">
        <f>IF(B196&gt;Trainingsdaten!$H$3,"",J195+H196*N195*F196)</f>
        <v/>
      </c>
      <c r="K196" s="7" t="str">
        <f>IF(B196&gt;Trainingsdaten!$H$3,"",K195+H196*N195)</f>
        <v/>
      </c>
      <c r="L196" s="7" t="str">
        <f>IF(B196&gt;Trainingsdaten!$H$3,"",E196*I196+F196*J196+K196)</f>
        <v/>
      </c>
      <c r="M196" s="7" t="str">
        <f>IF(B196&gt;Trainingsdaten!$H$3,"",IF(L196&gt;0,1,0))</f>
        <v/>
      </c>
      <c r="N196" s="7" t="str">
        <f>IF(B196&gt;Trainingsdaten!$H$3,"",G196-M196)</f>
        <v/>
      </c>
    </row>
    <row r="197" spans="1:14" x14ac:dyDescent="0.25">
      <c r="A197" s="9" t="str">
        <f>IF($B197&gt;Trainingsdaten!$H$3,"",MOD(ROW()-4,Trainingsdaten!$H$4)+1)</f>
        <v/>
      </c>
      <c r="B197" s="11" t="str">
        <f>IF(INT((ROW()-4)/Trainingsdaten!$H$4)+1&gt;Trainingsdaten!$H$3,"",INT((ROW()-4)/Trainingsdaten!$H$4)+1)</f>
        <v/>
      </c>
      <c r="C197" s="9" t="str">
        <f>IF(INT((ROW()-4)/Trainingsdaten!$H$4)+1&gt;Trainingsdaten!$H$3,"",MOD(ROW()-4,Trainingsdaten!$H$4)+1)</f>
        <v/>
      </c>
      <c r="D197" s="9" t="str">
        <f>IF($B197&gt;Trainingsdaten!$H$3,"",INDEX(Trainingsdaten!B:B,$C197+1))</f>
        <v/>
      </c>
      <c r="E197" s="7" t="str">
        <f>IF($B197&gt;Trainingsdaten!$H$3,"",INDEX(Trainingsdaten!C:C,$C197+1))</f>
        <v/>
      </c>
      <c r="F197" s="7" t="str">
        <f>IF($B197&gt;Trainingsdaten!$H$3,"",INDEX(Trainingsdaten!D:D,$C197+1))</f>
        <v/>
      </c>
      <c r="G197" s="7" t="str">
        <f>IF($B197&gt;Trainingsdaten!$H$3,"",INDEX(Trainingsdaten!E:E,$C197+1))</f>
        <v/>
      </c>
      <c r="H197" s="11" t="str">
        <f>IF($B197&gt;Trainingsdaten!$H$3,"",Trainingsdaten!$H$2)</f>
        <v/>
      </c>
      <c r="I197" s="7" t="str">
        <f>IF(B197&gt;Trainingsdaten!$H$3,"",I196+H197*N196*E197)</f>
        <v/>
      </c>
      <c r="J197" s="7" t="str">
        <f>IF(B197&gt;Trainingsdaten!$H$3,"",J196+H197*N196*F197)</f>
        <v/>
      </c>
      <c r="K197" s="7" t="str">
        <f>IF(B197&gt;Trainingsdaten!$H$3,"",K196+H197*N196)</f>
        <v/>
      </c>
      <c r="L197" s="7" t="str">
        <f>IF(B197&gt;Trainingsdaten!$H$3,"",E197*I197+F197*J197+K197)</f>
        <v/>
      </c>
      <c r="M197" s="7" t="str">
        <f>IF(B197&gt;Trainingsdaten!$H$3,"",IF(L197&gt;0,1,0))</f>
        <v/>
      </c>
      <c r="N197" s="7" t="str">
        <f>IF(B197&gt;Trainingsdaten!$H$3,"",G197-M197)</f>
        <v/>
      </c>
    </row>
    <row r="198" spans="1:14" x14ac:dyDescent="0.25">
      <c r="A198" s="9" t="str">
        <f>IF($B198&gt;Trainingsdaten!$H$3,"",MOD(ROW()-4,Trainingsdaten!$H$4)+1)</f>
        <v/>
      </c>
      <c r="B198" s="11" t="str">
        <f>IF(INT((ROW()-4)/Trainingsdaten!$H$4)+1&gt;Trainingsdaten!$H$3,"",INT((ROW()-4)/Trainingsdaten!$H$4)+1)</f>
        <v/>
      </c>
      <c r="C198" s="9" t="str">
        <f>IF(INT((ROW()-4)/Trainingsdaten!$H$4)+1&gt;Trainingsdaten!$H$3,"",MOD(ROW()-4,Trainingsdaten!$H$4)+1)</f>
        <v/>
      </c>
      <c r="D198" s="9" t="str">
        <f>IF($B198&gt;Trainingsdaten!$H$3,"",INDEX(Trainingsdaten!B:B,$C198+1))</f>
        <v/>
      </c>
      <c r="E198" s="7" t="str">
        <f>IF($B198&gt;Trainingsdaten!$H$3,"",INDEX(Trainingsdaten!C:C,$C198+1))</f>
        <v/>
      </c>
      <c r="F198" s="7" t="str">
        <f>IF($B198&gt;Trainingsdaten!$H$3,"",INDEX(Trainingsdaten!D:D,$C198+1))</f>
        <v/>
      </c>
      <c r="G198" s="7" t="str">
        <f>IF($B198&gt;Trainingsdaten!$H$3,"",INDEX(Trainingsdaten!E:E,$C198+1))</f>
        <v/>
      </c>
      <c r="H198" s="11" t="str">
        <f>IF($B198&gt;Trainingsdaten!$H$3,"",Trainingsdaten!$H$2)</f>
        <v/>
      </c>
      <c r="I198" s="7" t="str">
        <f>IF(B198&gt;Trainingsdaten!$H$3,"",I197+H198*N197*E198)</f>
        <v/>
      </c>
      <c r="J198" s="7" t="str">
        <f>IF(B198&gt;Trainingsdaten!$H$3,"",J197+H198*N197*F198)</f>
        <v/>
      </c>
      <c r="K198" s="7" t="str">
        <f>IF(B198&gt;Trainingsdaten!$H$3,"",K197+H198*N197)</f>
        <v/>
      </c>
      <c r="L198" s="7" t="str">
        <f>IF(B198&gt;Trainingsdaten!$H$3,"",E198*I198+F198*J198+K198)</f>
        <v/>
      </c>
      <c r="M198" s="7" t="str">
        <f>IF(B198&gt;Trainingsdaten!$H$3,"",IF(L198&gt;0,1,0))</f>
        <v/>
      </c>
      <c r="N198" s="7" t="str">
        <f>IF(B198&gt;Trainingsdaten!$H$3,"",G198-M198)</f>
        <v/>
      </c>
    </row>
    <row r="199" spans="1:14" x14ac:dyDescent="0.25">
      <c r="A199" s="9" t="str">
        <f>IF($B199&gt;Trainingsdaten!$H$3,"",MOD(ROW()-4,Trainingsdaten!$H$4)+1)</f>
        <v/>
      </c>
      <c r="B199" s="11" t="str">
        <f>IF(INT((ROW()-4)/Trainingsdaten!$H$4)+1&gt;Trainingsdaten!$H$3,"",INT((ROW()-4)/Trainingsdaten!$H$4)+1)</f>
        <v/>
      </c>
      <c r="C199" s="9" t="str">
        <f>IF(INT((ROW()-4)/Trainingsdaten!$H$4)+1&gt;Trainingsdaten!$H$3,"",MOD(ROW()-4,Trainingsdaten!$H$4)+1)</f>
        <v/>
      </c>
      <c r="D199" s="9" t="str">
        <f>IF($B199&gt;Trainingsdaten!$H$3,"",INDEX(Trainingsdaten!B:B,$C199+1))</f>
        <v/>
      </c>
      <c r="E199" s="7" t="str">
        <f>IF($B199&gt;Trainingsdaten!$H$3,"",INDEX(Trainingsdaten!C:C,$C199+1))</f>
        <v/>
      </c>
      <c r="F199" s="7" t="str">
        <f>IF($B199&gt;Trainingsdaten!$H$3,"",INDEX(Trainingsdaten!D:D,$C199+1))</f>
        <v/>
      </c>
      <c r="G199" s="7" t="str">
        <f>IF($B199&gt;Trainingsdaten!$H$3,"",INDEX(Trainingsdaten!E:E,$C199+1))</f>
        <v/>
      </c>
      <c r="H199" s="11" t="str">
        <f>IF($B199&gt;Trainingsdaten!$H$3,"",Trainingsdaten!$H$2)</f>
        <v/>
      </c>
      <c r="I199" s="7" t="str">
        <f>IF(B199&gt;Trainingsdaten!$H$3,"",I198+H199*N198*E199)</f>
        <v/>
      </c>
      <c r="J199" s="7" t="str">
        <f>IF(B199&gt;Trainingsdaten!$H$3,"",J198+H199*N198*F199)</f>
        <v/>
      </c>
      <c r="K199" s="7" t="str">
        <f>IF(B199&gt;Trainingsdaten!$H$3,"",K198+H199*N198)</f>
        <v/>
      </c>
      <c r="L199" s="7" t="str">
        <f>IF(B199&gt;Trainingsdaten!$H$3,"",E199*I199+F199*J199+K199)</f>
        <v/>
      </c>
      <c r="M199" s="7" t="str">
        <f>IF(B199&gt;Trainingsdaten!$H$3,"",IF(L199&gt;0,1,0))</f>
        <v/>
      </c>
      <c r="N199" s="7" t="str">
        <f>IF(B199&gt;Trainingsdaten!$H$3,"",G199-M199)</f>
        <v/>
      </c>
    </row>
    <row r="200" spans="1:14" x14ac:dyDescent="0.25">
      <c r="A200" s="9" t="str">
        <f>IF($B200&gt;Trainingsdaten!$H$3,"",MOD(ROW()-4,Trainingsdaten!$H$4)+1)</f>
        <v/>
      </c>
      <c r="B200" s="11" t="str">
        <f>IF(INT((ROW()-4)/Trainingsdaten!$H$4)+1&gt;Trainingsdaten!$H$3,"",INT((ROW()-4)/Trainingsdaten!$H$4)+1)</f>
        <v/>
      </c>
      <c r="C200" s="9" t="str">
        <f>IF(INT((ROW()-4)/Trainingsdaten!$H$4)+1&gt;Trainingsdaten!$H$3,"",MOD(ROW()-4,Trainingsdaten!$H$4)+1)</f>
        <v/>
      </c>
      <c r="D200" s="9" t="str">
        <f>IF($B200&gt;Trainingsdaten!$H$3,"",INDEX(Trainingsdaten!B:B,$C200+1))</f>
        <v/>
      </c>
      <c r="E200" s="7" t="str">
        <f>IF($B200&gt;Trainingsdaten!$H$3,"",INDEX(Trainingsdaten!C:C,$C200+1))</f>
        <v/>
      </c>
      <c r="F200" s="7" t="str">
        <f>IF($B200&gt;Trainingsdaten!$H$3,"",INDEX(Trainingsdaten!D:D,$C200+1))</f>
        <v/>
      </c>
      <c r="G200" s="7" t="str">
        <f>IF($B200&gt;Trainingsdaten!$H$3,"",INDEX(Trainingsdaten!E:E,$C200+1))</f>
        <v/>
      </c>
      <c r="H200" s="11" t="str">
        <f>IF($B200&gt;Trainingsdaten!$H$3,"",Trainingsdaten!$H$2)</f>
        <v/>
      </c>
      <c r="I200" s="7" t="str">
        <f>IF(B200&gt;Trainingsdaten!$H$3,"",I199+H200*N199*E200)</f>
        <v/>
      </c>
      <c r="J200" s="7" t="str">
        <f>IF(B200&gt;Trainingsdaten!$H$3,"",J199+H200*N199*F200)</f>
        <v/>
      </c>
      <c r="K200" s="7" t="str">
        <f>IF(B200&gt;Trainingsdaten!$H$3,"",K199+H200*N199)</f>
        <v/>
      </c>
      <c r="L200" s="7" t="str">
        <f>IF(B200&gt;Trainingsdaten!$H$3,"",E200*I200+F200*J200+K200)</f>
        <v/>
      </c>
      <c r="M200" s="7" t="str">
        <f>IF(B200&gt;Trainingsdaten!$H$3,"",IF(L200&gt;0,1,0))</f>
        <v/>
      </c>
      <c r="N200" s="7" t="str">
        <f>IF(B200&gt;Trainingsdaten!$H$3,"",G200-M200)</f>
        <v/>
      </c>
    </row>
    <row r="201" spans="1:14" x14ac:dyDescent="0.25">
      <c r="A201" s="9" t="str">
        <f>IF($B201&gt;Trainingsdaten!$H$3,"",MOD(ROW()-4,Trainingsdaten!$H$4)+1)</f>
        <v/>
      </c>
      <c r="B201" s="11" t="str">
        <f>IF(INT((ROW()-4)/Trainingsdaten!$H$4)+1&gt;Trainingsdaten!$H$3,"",INT((ROW()-4)/Trainingsdaten!$H$4)+1)</f>
        <v/>
      </c>
      <c r="C201" s="9" t="str">
        <f>IF(INT((ROW()-4)/Trainingsdaten!$H$4)+1&gt;Trainingsdaten!$H$3,"",MOD(ROW()-4,Trainingsdaten!$H$4)+1)</f>
        <v/>
      </c>
      <c r="D201" s="9" t="str">
        <f>IF($B201&gt;Trainingsdaten!$H$3,"",INDEX(Trainingsdaten!B:B,$C201+1))</f>
        <v/>
      </c>
      <c r="E201" s="7" t="str">
        <f>IF($B201&gt;Trainingsdaten!$H$3,"",INDEX(Trainingsdaten!C:C,$C201+1))</f>
        <v/>
      </c>
      <c r="F201" s="7" t="str">
        <f>IF($B201&gt;Trainingsdaten!$H$3,"",INDEX(Trainingsdaten!D:D,$C201+1))</f>
        <v/>
      </c>
      <c r="G201" s="7" t="str">
        <f>IF($B201&gt;Trainingsdaten!$H$3,"",INDEX(Trainingsdaten!E:E,$C201+1))</f>
        <v/>
      </c>
      <c r="H201" s="11" t="str">
        <f>IF($B201&gt;Trainingsdaten!$H$3,"",Trainingsdaten!$H$2)</f>
        <v/>
      </c>
      <c r="I201" s="7" t="str">
        <f>IF(B201&gt;Trainingsdaten!$H$3,"",I200+H201*N200*E201)</f>
        <v/>
      </c>
      <c r="J201" s="7" t="str">
        <f>IF(B201&gt;Trainingsdaten!$H$3,"",J200+H201*N200*F201)</f>
        <v/>
      </c>
      <c r="K201" s="7" t="str">
        <f>IF(B201&gt;Trainingsdaten!$H$3,"",K200+H201*N200)</f>
        <v/>
      </c>
      <c r="L201" s="7" t="str">
        <f>IF(B201&gt;Trainingsdaten!$H$3,"",E201*I201+F201*J201+K201)</f>
        <v/>
      </c>
      <c r="M201" s="7" t="str">
        <f>IF(B201&gt;Trainingsdaten!$H$3,"",IF(L201&gt;0,1,0))</f>
        <v/>
      </c>
      <c r="N201" s="7" t="str">
        <f>IF(B201&gt;Trainingsdaten!$H$3,"",G201-M201)</f>
        <v/>
      </c>
    </row>
    <row r="202" spans="1:14" x14ac:dyDescent="0.25">
      <c r="A202" s="9" t="str">
        <f>IF($B202&gt;Trainingsdaten!$H$3,"",MOD(ROW()-4,Trainingsdaten!$H$4)+1)</f>
        <v/>
      </c>
      <c r="B202" s="11" t="str">
        <f>IF(INT((ROW()-4)/Trainingsdaten!$H$4)+1&gt;Trainingsdaten!$H$3,"",INT((ROW()-4)/Trainingsdaten!$H$4)+1)</f>
        <v/>
      </c>
      <c r="C202" s="9" t="str">
        <f>IF(INT((ROW()-4)/Trainingsdaten!$H$4)+1&gt;Trainingsdaten!$H$3,"",MOD(ROW()-4,Trainingsdaten!$H$4)+1)</f>
        <v/>
      </c>
      <c r="D202" s="9" t="str">
        <f>IF($B202&gt;Trainingsdaten!$H$3,"",INDEX(Trainingsdaten!B:B,$C202+1))</f>
        <v/>
      </c>
      <c r="E202" s="7" t="str">
        <f>IF($B202&gt;Trainingsdaten!$H$3,"",INDEX(Trainingsdaten!C:C,$C202+1))</f>
        <v/>
      </c>
      <c r="F202" s="7" t="str">
        <f>IF($B202&gt;Trainingsdaten!$H$3,"",INDEX(Trainingsdaten!D:D,$C202+1))</f>
        <v/>
      </c>
      <c r="G202" s="7" t="str">
        <f>IF($B202&gt;Trainingsdaten!$H$3,"",INDEX(Trainingsdaten!E:E,$C202+1))</f>
        <v/>
      </c>
      <c r="H202" s="11" t="str">
        <f>IF($B202&gt;Trainingsdaten!$H$3,"",Trainingsdaten!$H$2)</f>
        <v/>
      </c>
      <c r="I202" s="7" t="str">
        <f>IF(B202&gt;Trainingsdaten!$H$3,"",I201+H202*N201*E202)</f>
        <v/>
      </c>
      <c r="J202" s="7" t="str">
        <f>IF(B202&gt;Trainingsdaten!$H$3,"",J201+H202*N201*F202)</f>
        <v/>
      </c>
      <c r="K202" s="7" t="str">
        <f>IF(B202&gt;Trainingsdaten!$H$3,"",K201+H202*N201)</f>
        <v/>
      </c>
      <c r="L202" s="7" t="str">
        <f>IF(B202&gt;Trainingsdaten!$H$3,"",E202*I202+F202*J202+K202)</f>
        <v/>
      </c>
      <c r="M202" s="7" t="str">
        <f>IF(B202&gt;Trainingsdaten!$H$3,"",IF(L202&gt;0,1,0))</f>
        <v/>
      </c>
      <c r="N202" s="7" t="str">
        <f>IF(B202&gt;Trainingsdaten!$H$3,"",G202-M202)</f>
        <v/>
      </c>
    </row>
    <row r="203" spans="1:14" x14ac:dyDescent="0.25">
      <c r="A203" s="9" t="str">
        <f>IF($B203&gt;Trainingsdaten!$H$3,"",MOD(ROW()-4,Trainingsdaten!$H$4)+1)</f>
        <v/>
      </c>
      <c r="B203" s="11" t="str">
        <f>IF(INT((ROW()-4)/Trainingsdaten!$H$4)+1&gt;Trainingsdaten!$H$3,"",INT((ROW()-4)/Trainingsdaten!$H$4)+1)</f>
        <v/>
      </c>
      <c r="C203" s="9" t="str">
        <f>IF(INT((ROW()-4)/Trainingsdaten!$H$4)+1&gt;Trainingsdaten!$H$3,"",MOD(ROW()-4,Trainingsdaten!$H$4)+1)</f>
        <v/>
      </c>
      <c r="D203" s="9" t="str">
        <f>IF($B203&gt;Trainingsdaten!$H$3,"",INDEX(Trainingsdaten!B:B,$C203+1))</f>
        <v/>
      </c>
      <c r="E203" s="7" t="str">
        <f>IF($B203&gt;Trainingsdaten!$H$3,"",INDEX(Trainingsdaten!C:C,$C203+1))</f>
        <v/>
      </c>
      <c r="F203" s="7" t="str">
        <f>IF($B203&gt;Trainingsdaten!$H$3,"",INDEX(Trainingsdaten!D:D,$C203+1))</f>
        <v/>
      </c>
      <c r="G203" s="7" t="str">
        <f>IF($B203&gt;Trainingsdaten!$H$3,"",INDEX(Trainingsdaten!E:E,$C203+1))</f>
        <v/>
      </c>
      <c r="H203" s="11" t="str">
        <f>IF($B203&gt;Trainingsdaten!$H$3,"",Trainingsdaten!$H$2)</f>
        <v/>
      </c>
      <c r="I203" s="7" t="str">
        <f>IF(B203&gt;Trainingsdaten!$H$3,"",I202+H203*N202*E203)</f>
        <v/>
      </c>
      <c r="J203" s="7" t="str">
        <f>IF(B203&gt;Trainingsdaten!$H$3,"",J202+H203*N202*F203)</f>
        <v/>
      </c>
      <c r="K203" s="7" t="str">
        <f>IF(B203&gt;Trainingsdaten!$H$3,"",K202+H203*N202)</f>
        <v/>
      </c>
      <c r="L203" s="7" t="str">
        <f>IF(B203&gt;Trainingsdaten!$H$3,"",E203*I203+F203*J203+K203)</f>
        <v/>
      </c>
      <c r="M203" s="7" t="str">
        <f>IF(B203&gt;Trainingsdaten!$H$3,"",IF(L203&gt;0,1,0))</f>
        <v/>
      </c>
      <c r="N203" s="7" t="str">
        <f>IF(B203&gt;Trainingsdaten!$H$3,"",G203-M203)</f>
        <v/>
      </c>
    </row>
    <row r="204" spans="1:14" x14ac:dyDescent="0.25">
      <c r="A204" s="9" t="str">
        <f>IF($B204&gt;Trainingsdaten!$H$3,"",MOD(ROW()-4,Trainingsdaten!$H$4)+1)</f>
        <v/>
      </c>
      <c r="B204" s="11" t="str">
        <f>IF(INT((ROW()-4)/Trainingsdaten!$H$4)+1&gt;Trainingsdaten!$H$3,"",INT((ROW()-4)/Trainingsdaten!$H$4)+1)</f>
        <v/>
      </c>
      <c r="C204" s="9" t="str">
        <f>IF(INT((ROW()-4)/Trainingsdaten!$H$4)+1&gt;Trainingsdaten!$H$3,"",MOD(ROW()-4,Trainingsdaten!$H$4)+1)</f>
        <v/>
      </c>
      <c r="D204" s="9" t="str">
        <f>IF($B204&gt;Trainingsdaten!$H$3,"",INDEX(Trainingsdaten!B:B,$C204+1))</f>
        <v/>
      </c>
      <c r="E204" s="7" t="str">
        <f>IF($B204&gt;Trainingsdaten!$H$3,"",INDEX(Trainingsdaten!C:C,$C204+1))</f>
        <v/>
      </c>
      <c r="F204" s="7" t="str">
        <f>IF($B204&gt;Trainingsdaten!$H$3,"",INDEX(Trainingsdaten!D:D,$C204+1))</f>
        <v/>
      </c>
      <c r="G204" s="7" t="str">
        <f>IF($B204&gt;Trainingsdaten!$H$3,"",INDEX(Trainingsdaten!E:E,$C204+1))</f>
        <v/>
      </c>
      <c r="H204" s="11" t="str">
        <f>IF($B204&gt;Trainingsdaten!$H$3,"",Trainingsdaten!$H$2)</f>
        <v/>
      </c>
      <c r="I204" s="7" t="str">
        <f>IF(B204&gt;Trainingsdaten!$H$3,"",I203+H204*N203*E204)</f>
        <v/>
      </c>
      <c r="J204" s="7" t="str">
        <f>IF(B204&gt;Trainingsdaten!$H$3,"",J203+H204*N203*F204)</f>
        <v/>
      </c>
      <c r="K204" s="7" t="str">
        <f>IF(B204&gt;Trainingsdaten!$H$3,"",K203+H204*N203)</f>
        <v/>
      </c>
      <c r="L204" s="7" t="str">
        <f>IF(B204&gt;Trainingsdaten!$H$3,"",E204*I204+F204*J204+K204)</f>
        <v/>
      </c>
      <c r="M204" s="7" t="str">
        <f>IF(B204&gt;Trainingsdaten!$H$3,"",IF(L204&gt;0,1,0))</f>
        <v/>
      </c>
      <c r="N204" s="7" t="str">
        <f>IF(B204&gt;Trainingsdaten!$H$3,"",G204-M204)</f>
        <v/>
      </c>
    </row>
    <row r="205" spans="1:14" x14ac:dyDescent="0.25">
      <c r="A205" s="9" t="str">
        <f>IF($B205&gt;Trainingsdaten!$H$3,"",MOD(ROW()-4,Trainingsdaten!$H$4)+1)</f>
        <v/>
      </c>
      <c r="B205" s="11" t="str">
        <f>IF(INT((ROW()-4)/Trainingsdaten!$H$4)+1&gt;Trainingsdaten!$H$3,"",INT((ROW()-4)/Trainingsdaten!$H$4)+1)</f>
        <v/>
      </c>
      <c r="C205" s="9" t="str">
        <f>IF(INT((ROW()-4)/Trainingsdaten!$H$4)+1&gt;Trainingsdaten!$H$3,"",MOD(ROW()-4,Trainingsdaten!$H$4)+1)</f>
        <v/>
      </c>
      <c r="D205" s="9" t="str">
        <f>IF($B205&gt;Trainingsdaten!$H$3,"",INDEX(Trainingsdaten!B:B,$C205+1))</f>
        <v/>
      </c>
      <c r="E205" s="7" t="str">
        <f>IF($B205&gt;Trainingsdaten!$H$3,"",INDEX(Trainingsdaten!C:C,$C205+1))</f>
        <v/>
      </c>
      <c r="F205" s="7" t="str">
        <f>IF($B205&gt;Trainingsdaten!$H$3,"",INDEX(Trainingsdaten!D:D,$C205+1))</f>
        <v/>
      </c>
      <c r="G205" s="7" t="str">
        <f>IF($B205&gt;Trainingsdaten!$H$3,"",INDEX(Trainingsdaten!E:E,$C205+1))</f>
        <v/>
      </c>
      <c r="H205" s="11" t="str">
        <f>IF($B205&gt;Trainingsdaten!$H$3,"",Trainingsdaten!$H$2)</f>
        <v/>
      </c>
      <c r="I205" s="7" t="str">
        <f>IF(B205&gt;Trainingsdaten!$H$3,"",I204+H205*N204*E205)</f>
        <v/>
      </c>
      <c r="J205" s="7" t="str">
        <f>IF(B205&gt;Trainingsdaten!$H$3,"",J204+H205*N204*F205)</f>
        <v/>
      </c>
      <c r="K205" s="7" t="str">
        <f>IF(B205&gt;Trainingsdaten!$H$3,"",K204+H205*N204)</f>
        <v/>
      </c>
      <c r="L205" s="7" t="str">
        <f>IF(B205&gt;Trainingsdaten!$H$3,"",E205*I205+F205*J205+K205)</f>
        <v/>
      </c>
      <c r="M205" s="7" t="str">
        <f>IF(B205&gt;Trainingsdaten!$H$3,"",IF(L205&gt;0,1,0))</f>
        <v/>
      </c>
      <c r="N205" s="7" t="str">
        <f>IF(B205&gt;Trainingsdaten!$H$3,"",G205-M205)</f>
        <v/>
      </c>
    </row>
    <row r="206" spans="1:14" x14ac:dyDescent="0.25">
      <c r="A206" s="9" t="str">
        <f>IF($B206&gt;Trainingsdaten!$H$3,"",MOD(ROW()-4,Trainingsdaten!$H$4)+1)</f>
        <v/>
      </c>
      <c r="B206" s="11" t="str">
        <f>IF(INT((ROW()-4)/Trainingsdaten!$H$4)+1&gt;Trainingsdaten!$H$3,"",INT((ROW()-4)/Trainingsdaten!$H$4)+1)</f>
        <v/>
      </c>
      <c r="C206" s="9" t="str">
        <f>IF(INT((ROW()-4)/Trainingsdaten!$H$4)+1&gt;Trainingsdaten!$H$3,"",MOD(ROW()-4,Trainingsdaten!$H$4)+1)</f>
        <v/>
      </c>
      <c r="D206" s="9" t="str">
        <f>IF($B206&gt;Trainingsdaten!$H$3,"",INDEX(Trainingsdaten!B:B,$C206+1))</f>
        <v/>
      </c>
      <c r="E206" s="7" t="str">
        <f>IF($B206&gt;Trainingsdaten!$H$3,"",INDEX(Trainingsdaten!C:C,$C206+1))</f>
        <v/>
      </c>
      <c r="F206" s="7" t="str">
        <f>IF($B206&gt;Trainingsdaten!$H$3,"",INDEX(Trainingsdaten!D:D,$C206+1))</f>
        <v/>
      </c>
      <c r="G206" s="7" t="str">
        <f>IF($B206&gt;Trainingsdaten!$H$3,"",INDEX(Trainingsdaten!E:E,$C206+1))</f>
        <v/>
      </c>
      <c r="H206" s="11" t="str">
        <f>IF($B206&gt;Trainingsdaten!$H$3,"",Trainingsdaten!$H$2)</f>
        <v/>
      </c>
      <c r="I206" s="7" t="str">
        <f>IF(B206&gt;Trainingsdaten!$H$3,"",I205+H206*N205*E206)</f>
        <v/>
      </c>
      <c r="J206" s="7" t="str">
        <f>IF(B206&gt;Trainingsdaten!$H$3,"",J205+H206*N205*F206)</f>
        <v/>
      </c>
      <c r="K206" s="7" t="str">
        <f>IF(B206&gt;Trainingsdaten!$H$3,"",K205+H206*N205)</f>
        <v/>
      </c>
      <c r="L206" s="7" t="str">
        <f>IF(B206&gt;Trainingsdaten!$H$3,"",E206*I206+F206*J206+K206)</f>
        <v/>
      </c>
      <c r="M206" s="7" t="str">
        <f>IF(B206&gt;Trainingsdaten!$H$3,"",IF(L206&gt;0,1,0))</f>
        <v/>
      </c>
      <c r="N206" s="7" t="str">
        <f>IF(B206&gt;Trainingsdaten!$H$3,"",G206-M206)</f>
        <v/>
      </c>
    </row>
    <row r="207" spans="1:14" x14ac:dyDescent="0.25">
      <c r="A207" s="9" t="str">
        <f>IF($B207&gt;Trainingsdaten!$H$3,"",MOD(ROW()-4,Trainingsdaten!$H$4)+1)</f>
        <v/>
      </c>
      <c r="B207" s="11" t="str">
        <f>IF(INT((ROW()-4)/Trainingsdaten!$H$4)+1&gt;Trainingsdaten!$H$3,"",INT((ROW()-4)/Trainingsdaten!$H$4)+1)</f>
        <v/>
      </c>
      <c r="C207" s="9" t="str">
        <f>IF(INT((ROW()-4)/Trainingsdaten!$H$4)+1&gt;Trainingsdaten!$H$3,"",MOD(ROW()-4,Trainingsdaten!$H$4)+1)</f>
        <v/>
      </c>
      <c r="D207" s="9" t="str">
        <f>IF($B207&gt;Trainingsdaten!$H$3,"",INDEX(Trainingsdaten!B:B,$C207+1))</f>
        <v/>
      </c>
      <c r="E207" s="7" t="str">
        <f>IF($B207&gt;Trainingsdaten!$H$3,"",INDEX(Trainingsdaten!C:C,$C207+1))</f>
        <v/>
      </c>
      <c r="F207" s="7" t="str">
        <f>IF($B207&gt;Trainingsdaten!$H$3,"",INDEX(Trainingsdaten!D:D,$C207+1))</f>
        <v/>
      </c>
      <c r="G207" s="7" t="str">
        <f>IF($B207&gt;Trainingsdaten!$H$3,"",INDEX(Trainingsdaten!E:E,$C207+1))</f>
        <v/>
      </c>
      <c r="H207" s="11" t="str">
        <f>IF($B207&gt;Trainingsdaten!$H$3,"",Trainingsdaten!$H$2)</f>
        <v/>
      </c>
      <c r="I207" s="7" t="str">
        <f>IF(B207&gt;Trainingsdaten!$H$3,"",I206+H207*N206*E207)</f>
        <v/>
      </c>
      <c r="J207" s="7" t="str">
        <f>IF(B207&gt;Trainingsdaten!$H$3,"",J206+H207*N206*F207)</f>
        <v/>
      </c>
      <c r="K207" s="7" t="str">
        <f>IF(B207&gt;Trainingsdaten!$H$3,"",K206+H207*N206)</f>
        <v/>
      </c>
      <c r="L207" s="7" t="str">
        <f>IF(B207&gt;Trainingsdaten!$H$3,"",E207*I207+F207*J207+K207)</f>
        <v/>
      </c>
      <c r="M207" s="7" t="str">
        <f>IF(B207&gt;Trainingsdaten!$H$3,"",IF(L207&gt;0,1,0))</f>
        <v/>
      </c>
      <c r="N207" s="7" t="str">
        <f>IF(B207&gt;Trainingsdaten!$H$3,"",G207-M207)</f>
        <v/>
      </c>
    </row>
    <row r="208" spans="1:14" x14ac:dyDescent="0.25">
      <c r="A208" s="9" t="str">
        <f>IF($B208&gt;Trainingsdaten!$H$3,"",MOD(ROW()-4,Trainingsdaten!$H$4)+1)</f>
        <v/>
      </c>
      <c r="B208" s="11" t="str">
        <f>IF(INT((ROW()-4)/Trainingsdaten!$H$4)+1&gt;Trainingsdaten!$H$3,"",INT((ROW()-4)/Trainingsdaten!$H$4)+1)</f>
        <v/>
      </c>
      <c r="C208" s="9" t="str">
        <f>IF(INT((ROW()-4)/Trainingsdaten!$H$4)+1&gt;Trainingsdaten!$H$3,"",MOD(ROW()-4,Trainingsdaten!$H$4)+1)</f>
        <v/>
      </c>
      <c r="D208" s="9" t="str">
        <f>IF($B208&gt;Trainingsdaten!$H$3,"",INDEX(Trainingsdaten!B:B,$C208+1))</f>
        <v/>
      </c>
      <c r="E208" s="7" t="str">
        <f>IF($B208&gt;Trainingsdaten!$H$3,"",INDEX(Trainingsdaten!C:C,$C208+1))</f>
        <v/>
      </c>
      <c r="F208" s="7" t="str">
        <f>IF($B208&gt;Trainingsdaten!$H$3,"",INDEX(Trainingsdaten!D:D,$C208+1))</f>
        <v/>
      </c>
      <c r="G208" s="7" t="str">
        <f>IF($B208&gt;Trainingsdaten!$H$3,"",INDEX(Trainingsdaten!E:E,$C208+1))</f>
        <v/>
      </c>
      <c r="H208" s="11" t="str">
        <f>IF($B208&gt;Trainingsdaten!$H$3,"",Trainingsdaten!$H$2)</f>
        <v/>
      </c>
      <c r="I208" s="7" t="str">
        <f>IF(B208&gt;Trainingsdaten!$H$3,"",I207+H208*N207*E208)</f>
        <v/>
      </c>
      <c r="J208" s="7" t="str">
        <f>IF(B208&gt;Trainingsdaten!$H$3,"",J207+H208*N207*F208)</f>
        <v/>
      </c>
      <c r="K208" s="7" t="str">
        <f>IF(B208&gt;Trainingsdaten!$H$3,"",K207+H208*N207)</f>
        <v/>
      </c>
      <c r="L208" s="7" t="str">
        <f>IF(B208&gt;Trainingsdaten!$H$3,"",E208*I208+F208*J208+K208)</f>
        <v/>
      </c>
      <c r="M208" s="7" t="str">
        <f>IF(B208&gt;Trainingsdaten!$H$3,"",IF(L208&gt;0,1,0))</f>
        <v/>
      </c>
      <c r="N208" s="7" t="str">
        <f>IF(B208&gt;Trainingsdaten!$H$3,"",G208-M208)</f>
        <v/>
      </c>
    </row>
    <row r="209" spans="1:14" x14ac:dyDescent="0.25">
      <c r="A209" s="9" t="str">
        <f>IF($B209&gt;Trainingsdaten!$H$3,"",MOD(ROW()-4,Trainingsdaten!$H$4)+1)</f>
        <v/>
      </c>
      <c r="B209" s="11" t="str">
        <f>IF(INT((ROW()-4)/Trainingsdaten!$H$4)+1&gt;Trainingsdaten!$H$3,"",INT((ROW()-4)/Trainingsdaten!$H$4)+1)</f>
        <v/>
      </c>
      <c r="C209" s="9" t="str">
        <f>IF(INT((ROW()-4)/Trainingsdaten!$H$4)+1&gt;Trainingsdaten!$H$3,"",MOD(ROW()-4,Trainingsdaten!$H$4)+1)</f>
        <v/>
      </c>
      <c r="D209" s="9" t="str">
        <f>IF($B209&gt;Trainingsdaten!$H$3,"",INDEX(Trainingsdaten!B:B,$C209+1))</f>
        <v/>
      </c>
      <c r="E209" s="7" t="str">
        <f>IF($B209&gt;Trainingsdaten!$H$3,"",INDEX(Trainingsdaten!C:C,$C209+1))</f>
        <v/>
      </c>
      <c r="F209" s="7" t="str">
        <f>IF($B209&gt;Trainingsdaten!$H$3,"",INDEX(Trainingsdaten!D:D,$C209+1))</f>
        <v/>
      </c>
      <c r="G209" s="7" t="str">
        <f>IF($B209&gt;Trainingsdaten!$H$3,"",INDEX(Trainingsdaten!E:E,$C209+1))</f>
        <v/>
      </c>
      <c r="H209" s="11" t="str">
        <f>IF($B209&gt;Trainingsdaten!$H$3,"",Trainingsdaten!$H$2)</f>
        <v/>
      </c>
      <c r="I209" s="7" t="str">
        <f>IF(B209&gt;Trainingsdaten!$H$3,"",I208+H209*N208*E209)</f>
        <v/>
      </c>
      <c r="J209" s="7" t="str">
        <f>IF(B209&gt;Trainingsdaten!$H$3,"",J208+H209*N208*F209)</f>
        <v/>
      </c>
      <c r="K209" s="7" t="str">
        <f>IF(B209&gt;Trainingsdaten!$H$3,"",K208+H209*N208)</f>
        <v/>
      </c>
      <c r="L209" s="7" t="str">
        <f>IF(B209&gt;Trainingsdaten!$H$3,"",E209*I209+F209*J209+K209)</f>
        <v/>
      </c>
      <c r="M209" s="7" t="str">
        <f>IF(B209&gt;Trainingsdaten!$H$3,"",IF(L209&gt;0,1,0))</f>
        <v/>
      </c>
      <c r="N209" s="7" t="str">
        <f>IF(B209&gt;Trainingsdaten!$H$3,"",G209-M209)</f>
        <v/>
      </c>
    </row>
    <row r="210" spans="1:14" x14ac:dyDescent="0.25">
      <c r="A210" s="9" t="str">
        <f>IF($B210&gt;Trainingsdaten!$H$3,"",MOD(ROW()-4,Trainingsdaten!$H$4)+1)</f>
        <v/>
      </c>
      <c r="B210" s="11" t="str">
        <f>IF(INT((ROW()-4)/Trainingsdaten!$H$4)+1&gt;Trainingsdaten!$H$3,"",INT((ROW()-4)/Trainingsdaten!$H$4)+1)</f>
        <v/>
      </c>
      <c r="C210" s="9" t="str">
        <f>IF(INT((ROW()-4)/Trainingsdaten!$H$4)+1&gt;Trainingsdaten!$H$3,"",MOD(ROW()-4,Trainingsdaten!$H$4)+1)</f>
        <v/>
      </c>
      <c r="D210" s="9" t="str">
        <f>IF($B210&gt;Trainingsdaten!$H$3,"",INDEX(Trainingsdaten!B:B,$C210+1))</f>
        <v/>
      </c>
      <c r="E210" s="7" t="str">
        <f>IF($B210&gt;Trainingsdaten!$H$3,"",INDEX(Trainingsdaten!C:C,$C210+1))</f>
        <v/>
      </c>
      <c r="F210" s="7" t="str">
        <f>IF($B210&gt;Trainingsdaten!$H$3,"",INDEX(Trainingsdaten!D:D,$C210+1))</f>
        <v/>
      </c>
      <c r="G210" s="7" t="str">
        <f>IF($B210&gt;Trainingsdaten!$H$3,"",INDEX(Trainingsdaten!E:E,$C210+1))</f>
        <v/>
      </c>
      <c r="H210" s="11" t="str">
        <f>IF($B210&gt;Trainingsdaten!$H$3,"",Trainingsdaten!$H$2)</f>
        <v/>
      </c>
      <c r="I210" s="7" t="str">
        <f>IF(B210&gt;Trainingsdaten!$H$3,"",I209+H210*N209*E210)</f>
        <v/>
      </c>
      <c r="J210" s="7" t="str">
        <f>IF(B210&gt;Trainingsdaten!$H$3,"",J209+H210*N209*F210)</f>
        <v/>
      </c>
      <c r="K210" s="7" t="str">
        <f>IF(B210&gt;Trainingsdaten!$H$3,"",K209+H210*N209)</f>
        <v/>
      </c>
      <c r="L210" s="7" t="str">
        <f>IF(B210&gt;Trainingsdaten!$H$3,"",E210*I210+F210*J210+K210)</f>
        <v/>
      </c>
      <c r="M210" s="7" t="str">
        <f>IF(B210&gt;Trainingsdaten!$H$3,"",IF(L210&gt;0,1,0))</f>
        <v/>
      </c>
      <c r="N210" s="7" t="str">
        <f>IF(B210&gt;Trainingsdaten!$H$3,"",G210-M210)</f>
        <v/>
      </c>
    </row>
    <row r="211" spans="1:14" x14ac:dyDescent="0.25">
      <c r="A211" s="9" t="str">
        <f>IF($B211&gt;Trainingsdaten!$H$3,"",MOD(ROW()-4,Trainingsdaten!$H$4)+1)</f>
        <v/>
      </c>
      <c r="B211" s="11" t="str">
        <f>IF(INT((ROW()-4)/Trainingsdaten!$H$4)+1&gt;Trainingsdaten!$H$3,"",INT((ROW()-4)/Trainingsdaten!$H$4)+1)</f>
        <v/>
      </c>
      <c r="C211" s="9" t="str">
        <f>IF(INT((ROW()-4)/Trainingsdaten!$H$4)+1&gt;Trainingsdaten!$H$3,"",MOD(ROW()-4,Trainingsdaten!$H$4)+1)</f>
        <v/>
      </c>
      <c r="D211" s="9" t="str">
        <f>IF($B211&gt;Trainingsdaten!$H$3,"",INDEX(Trainingsdaten!B:B,$C211+1))</f>
        <v/>
      </c>
      <c r="E211" s="7" t="str">
        <f>IF($B211&gt;Trainingsdaten!$H$3,"",INDEX(Trainingsdaten!C:C,$C211+1))</f>
        <v/>
      </c>
      <c r="F211" s="7" t="str">
        <f>IF($B211&gt;Trainingsdaten!$H$3,"",INDEX(Trainingsdaten!D:D,$C211+1))</f>
        <v/>
      </c>
      <c r="G211" s="7" t="str">
        <f>IF($B211&gt;Trainingsdaten!$H$3,"",INDEX(Trainingsdaten!E:E,$C211+1))</f>
        <v/>
      </c>
      <c r="H211" s="11" t="str">
        <f>IF($B211&gt;Trainingsdaten!$H$3,"",Trainingsdaten!$H$2)</f>
        <v/>
      </c>
      <c r="I211" s="7" t="str">
        <f>IF(B211&gt;Trainingsdaten!$H$3,"",I210+H211*N210*E211)</f>
        <v/>
      </c>
      <c r="J211" s="7" t="str">
        <f>IF(B211&gt;Trainingsdaten!$H$3,"",J210+H211*N210*F211)</f>
        <v/>
      </c>
      <c r="K211" s="7" t="str">
        <f>IF(B211&gt;Trainingsdaten!$H$3,"",K210+H211*N210)</f>
        <v/>
      </c>
      <c r="L211" s="7" t="str">
        <f>IF(B211&gt;Trainingsdaten!$H$3,"",E211*I211+F211*J211+K211)</f>
        <v/>
      </c>
      <c r="M211" s="7" t="str">
        <f>IF(B211&gt;Trainingsdaten!$H$3,"",IF(L211&gt;0,1,0))</f>
        <v/>
      </c>
      <c r="N211" s="7" t="str">
        <f>IF(B211&gt;Trainingsdaten!$H$3,"",G211-M211)</f>
        <v/>
      </c>
    </row>
    <row r="212" spans="1:14" x14ac:dyDescent="0.25">
      <c r="A212" s="9" t="str">
        <f>IF($B212&gt;Trainingsdaten!$H$3,"",MOD(ROW()-4,Trainingsdaten!$H$4)+1)</f>
        <v/>
      </c>
      <c r="B212" s="11" t="str">
        <f>IF(INT((ROW()-4)/Trainingsdaten!$H$4)+1&gt;Trainingsdaten!$H$3,"",INT((ROW()-4)/Trainingsdaten!$H$4)+1)</f>
        <v/>
      </c>
      <c r="C212" s="9" t="str">
        <f>IF(INT((ROW()-4)/Trainingsdaten!$H$4)+1&gt;Trainingsdaten!$H$3,"",MOD(ROW()-4,Trainingsdaten!$H$4)+1)</f>
        <v/>
      </c>
      <c r="D212" s="9" t="str">
        <f>IF($B212&gt;Trainingsdaten!$H$3,"",INDEX(Trainingsdaten!B:B,$C212+1))</f>
        <v/>
      </c>
      <c r="E212" s="7" t="str">
        <f>IF($B212&gt;Trainingsdaten!$H$3,"",INDEX(Trainingsdaten!C:C,$C212+1))</f>
        <v/>
      </c>
      <c r="F212" s="7" t="str">
        <f>IF($B212&gt;Trainingsdaten!$H$3,"",INDEX(Trainingsdaten!D:D,$C212+1))</f>
        <v/>
      </c>
      <c r="G212" s="7" t="str">
        <f>IF($B212&gt;Trainingsdaten!$H$3,"",INDEX(Trainingsdaten!E:E,$C212+1))</f>
        <v/>
      </c>
      <c r="H212" s="11" t="str">
        <f>IF($B212&gt;Trainingsdaten!$H$3,"",Trainingsdaten!$H$2)</f>
        <v/>
      </c>
      <c r="I212" s="7" t="str">
        <f>IF(B212&gt;Trainingsdaten!$H$3,"",I211+H212*N211*E212)</f>
        <v/>
      </c>
      <c r="J212" s="7" t="str">
        <f>IF(B212&gt;Trainingsdaten!$H$3,"",J211+H212*N211*F212)</f>
        <v/>
      </c>
      <c r="K212" s="7" t="str">
        <f>IF(B212&gt;Trainingsdaten!$H$3,"",K211+H212*N211)</f>
        <v/>
      </c>
      <c r="L212" s="7" t="str">
        <f>IF(B212&gt;Trainingsdaten!$H$3,"",E212*I212+F212*J212+K212)</f>
        <v/>
      </c>
      <c r="M212" s="7" t="str">
        <f>IF(B212&gt;Trainingsdaten!$H$3,"",IF(L212&gt;0,1,0))</f>
        <v/>
      </c>
      <c r="N212" s="7" t="str">
        <f>IF(B212&gt;Trainingsdaten!$H$3,"",G212-M212)</f>
        <v/>
      </c>
    </row>
    <row r="213" spans="1:14" x14ac:dyDescent="0.25">
      <c r="A213" s="9" t="str">
        <f>IF($B213&gt;Trainingsdaten!$H$3,"",MOD(ROW()-4,Trainingsdaten!$H$4)+1)</f>
        <v/>
      </c>
      <c r="B213" s="11" t="str">
        <f>IF(INT((ROW()-4)/Trainingsdaten!$H$4)+1&gt;Trainingsdaten!$H$3,"",INT((ROW()-4)/Trainingsdaten!$H$4)+1)</f>
        <v/>
      </c>
      <c r="C213" s="9" t="str">
        <f>IF(INT((ROW()-4)/Trainingsdaten!$H$4)+1&gt;Trainingsdaten!$H$3,"",MOD(ROW()-4,Trainingsdaten!$H$4)+1)</f>
        <v/>
      </c>
      <c r="D213" s="9" t="str">
        <f>IF($B213&gt;Trainingsdaten!$H$3,"",INDEX(Trainingsdaten!B:B,$C213+1))</f>
        <v/>
      </c>
      <c r="E213" s="7" t="str">
        <f>IF($B213&gt;Trainingsdaten!$H$3,"",INDEX(Trainingsdaten!C:C,$C213+1))</f>
        <v/>
      </c>
      <c r="F213" s="7" t="str">
        <f>IF($B213&gt;Trainingsdaten!$H$3,"",INDEX(Trainingsdaten!D:D,$C213+1))</f>
        <v/>
      </c>
      <c r="G213" s="7" t="str">
        <f>IF($B213&gt;Trainingsdaten!$H$3,"",INDEX(Trainingsdaten!E:E,$C213+1))</f>
        <v/>
      </c>
      <c r="H213" s="11" t="str">
        <f>IF($B213&gt;Trainingsdaten!$H$3,"",Trainingsdaten!$H$2)</f>
        <v/>
      </c>
      <c r="I213" s="7" t="str">
        <f>IF(B213&gt;Trainingsdaten!$H$3,"",I212+H213*N212*E213)</f>
        <v/>
      </c>
      <c r="J213" s="7" t="str">
        <f>IF(B213&gt;Trainingsdaten!$H$3,"",J212+H213*N212*F213)</f>
        <v/>
      </c>
      <c r="K213" s="7" t="str">
        <f>IF(B213&gt;Trainingsdaten!$H$3,"",K212+H213*N212)</f>
        <v/>
      </c>
      <c r="L213" s="7" t="str">
        <f>IF(B213&gt;Trainingsdaten!$H$3,"",E213*I213+F213*J213+K213)</f>
        <v/>
      </c>
      <c r="M213" s="7" t="str">
        <f>IF(B213&gt;Trainingsdaten!$H$3,"",IF(L213&gt;0,1,0))</f>
        <v/>
      </c>
      <c r="N213" s="7" t="str">
        <f>IF(B213&gt;Trainingsdaten!$H$3,"",G213-M213)</f>
        <v/>
      </c>
    </row>
    <row r="214" spans="1:14" x14ac:dyDescent="0.25">
      <c r="A214" s="9" t="str">
        <f>IF($B214&gt;Trainingsdaten!$H$3,"",MOD(ROW()-4,Trainingsdaten!$H$4)+1)</f>
        <v/>
      </c>
      <c r="B214" s="11" t="str">
        <f>IF(INT((ROW()-4)/Trainingsdaten!$H$4)+1&gt;Trainingsdaten!$H$3,"",INT((ROW()-4)/Trainingsdaten!$H$4)+1)</f>
        <v/>
      </c>
      <c r="C214" s="9" t="str">
        <f>IF(INT((ROW()-4)/Trainingsdaten!$H$4)+1&gt;Trainingsdaten!$H$3,"",MOD(ROW()-4,Trainingsdaten!$H$4)+1)</f>
        <v/>
      </c>
      <c r="D214" s="9" t="str">
        <f>IF($B214&gt;Trainingsdaten!$H$3,"",INDEX(Trainingsdaten!B:B,$C214+1))</f>
        <v/>
      </c>
      <c r="E214" s="7" t="str">
        <f>IF($B214&gt;Trainingsdaten!$H$3,"",INDEX(Trainingsdaten!C:C,$C214+1))</f>
        <v/>
      </c>
      <c r="F214" s="7" t="str">
        <f>IF($B214&gt;Trainingsdaten!$H$3,"",INDEX(Trainingsdaten!D:D,$C214+1))</f>
        <v/>
      </c>
      <c r="G214" s="7" t="str">
        <f>IF($B214&gt;Trainingsdaten!$H$3,"",INDEX(Trainingsdaten!E:E,$C214+1))</f>
        <v/>
      </c>
      <c r="H214" s="11" t="str">
        <f>IF($B214&gt;Trainingsdaten!$H$3,"",Trainingsdaten!$H$2)</f>
        <v/>
      </c>
      <c r="I214" s="7" t="str">
        <f>IF(B214&gt;Trainingsdaten!$H$3,"",I213+H214*N213*E214)</f>
        <v/>
      </c>
      <c r="J214" s="7" t="str">
        <f>IF(B214&gt;Trainingsdaten!$H$3,"",J213+H214*N213*F214)</f>
        <v/>
      </c>
      <c r="K214" s="7" t="str">
        <f>IF(B214&gt;Trainingsdaten!$H$3,"",K213+H214*N213)</f>
        <v/>
      </c>
      <c r="L214" s="7" t="str">
        <f>IF(B214&gt;Trainingsdaten!$H$3,"",E214*I214+F214*J214+K214)</f>
        <v/>
      </c>
      <c r="M214" s="7" t="str">
        <f>IF(B214&gt;Trainingsdaten!$H$3,"",IF(L214&gt;0,1,0))</f>
        <v/>
      </c>
      <c r="N214" s="7" t="str">
        <f>IF(B214&gt;Trainingsdaten!$H$3,"",G214-M214)</f>
        <v/>
      </c>
    </row>
    <row r="215" spans="1:14" x14ac:dyDescent="0.25">
      <c r="A215" s="9" t="str">
        <f>IF($B215&gt;Trainingsdaten!$H$3,"",MOD(ROW()-4,Trainingsdaten!$H$4)+1)</f>
        <v/>
      </c>
      <c r="B215" s="11" t="str">
        <f>IF(INT((ROW()-4)/Trainingsdaten!$H$4)+1&gt;Trainingsdaten!$H$3,"",INT((ROW()-4)/Trainingsdaten!$H$4)+1)</f>
        <v/>
      </c>
      <c r="C215" s="9" t="str">
        <f>IF(INT((ROW()-4)/Trainingsdaten!$H$4)+1&gt;Trainingsdaten!$H$3,"",MOD(ROW()-4,Trainingsdaten!$H$4)+1)</f>
        <v/>
      </c>
      <c r="D215" s="9" t="str">
        <f>IF($B215&gt;Trainingsdaten!$H$3,"",INDEX(Trainingsdaten!B:B,$C215+1))</f>
        <v/>
      </c>
      <c r="E215" s="7" t="str">
        <f>IF($B215&gt;Trainingsdaten!$H$3,"",INDEX(Trainingsdaten!C:C,$C215+1))</f>
        <v/>
      </c>
      <c r="F215" s="7" t="str">
        <f>IF($B215&gt;Trainingsdaten!$H$3,"",INDEX(Trainingsdaten!D:D,$C215+1))</f>
        <v/>
      </c>
      <c r="G215" s="7" t="str">
        <f>IF($B215&gt;Trainingsdaten!$H$3,"",INDEX(Trainingsdaten!E:E,$C215+1))</f>
        <v/>
      </c>
      <c r="H215" s="11" t="str">
        <f>IF($B215&gt;Trainingsdaten!$H$3,"",Trainingsdaten!$H$2)</f>
        <v/>
      </c>
      <c r="I215" s="7" t="str">
        <f>IF(B215&gt;Trainingsdaten!$H$3,"",I214+H215*N214*E215)</f>
        <v/>
      </c>
      <c r="J215" s="7" t="str">
        <f>IF(B215&gt;Trainingsdaten!$H$3,"",J214+H215*N214*F215)</f>
        <v/>
      </c>
      <c r="K215" s="7" t="str">
        <f>IF(B215&gt;Trainingsdaten!$H$3,"",K214+H215*N214)</f>
        <v/>
      </c>
      <c r="L215" s="7" t="str">
        <f>IF(B215&gt;Trainingsdaten!$H$3,"",E215*I215+F215*J215+K215)</f>
        <v/>
      </c>
      <c r="M215" s="7" t="str">
        <f>IF(B215&gt;Trainingsdaten!$H$3,"",IF(L215&gt;0,1,0))</f>
        <v/>
      </c>
      <c r="N215" s="7" t="str">
        <f>IF(B215&gt;Trainingsdaten!$H$3,"",G215-M215)</f>
        <v/>
      </c>
    </row>
    <row r="216" spans="1:14" x14ac:dyDescent="0.25">
      <c r="A216" s="9" t="str">
        <f>IF($B216&gt;Trainingsdaten!$H$3,"",MOD(ROW()-4,Trainingsdaten!$H$4)+1)</f>
        <v/>
      </c>
      <c r="B216" s="11" t="str">
        <f>IF(INT((ROW()-4)/Trainingsdaten!$H$4)+1&gt;Trainingsdaten!$H$3,"",INT((ROW()-4)/Trainingsdaten!$H$4)+1)</f>
        <v/>
      </c>
      <c r="C216" s="9" t="str">
        <f>IF(INT((ROW()-4)/Trainingsdaten!$H$4)+1&gt;Trainingsdaten!$H$3,"",MOD(ROW()-4,Trainingsdaten!$H$4)+1)</f>
        <v/>
      </c>
      <c r="D216" s="9" t="str">
        <f>IF($B216&gt;Trainingsdaten!$H$3,"",INDEX(Trainingsdaten!B:B,$C216+1))</f>
        <v/>
      </c>
      <c r="E216" s="7" t="str">
        <f>IF($B216&gt;Trainingsdaten!$H$3,"",INDEX(Trainingsdaten!C:C,$C216+1))</f>
        <v/>
      </c>
      <c r="F216" s="7" t="str">
        <f>IF($B216&gt;Trainingsdaten!$H$3,"",INDEX(Trainingsdaten!D:D,$C216+1))</f>
        <v/>
      </c>
      <c r="G216" s="7" t="str">
        <f>IF($B216&gt;Trainingsdaten!$H$3,"",INDEX(Trainingsdaten!E:E,$C216+1))</f>
        <v/>
      </c>
      <c r="H216" s="11" t="str">
        <f>IF($B216&gt;Trainingsdaten!$H$3,"",Trainingsdaten!$H$2)</f>
        <v/>
      </c>
      <c r="I216" s="7" t="str">
        <f>IF(B216&gt;Trainingsdaten!$H$3,"",I215+H216*N215*E216)</f>
        <v/>
      </c>
      <c r="J216" s="7" t="str">
        <f>IF(B216&gt;Trainingsdaten!$H$3,"",J215+H216*N215*F216)</f>
        <v/>
      </c>
      <c r="K216" s="7" t="str">
        <f>IF(B216&gt;Trainingsdaten!$H$3,"",K215+H216*N215)</f>
        <v/>
      </c>
      <c r="L216" s="7" t="str">
        <f>IF(B216&gt;Trainingsdaten!$H$3,"",E216*I216+F216*J216+K216)</f>
        <v/>
      </c>
      <c r="M216" s="7" t="str">
        <f>IF(B216&gt;Trainingsdaten!$H$3,"",IF(L216&gt;0,1,0))</f>
        <v/>
      </c>
      <c r="N216" s="7" t="str">
        <f>IF(B216&gt;Trainingsdaten!$H$3,"",G216-M216)</f>
        <v/>
      </c>
    </row>
    <row r="217" spans="1:14" x14ac:dyDescent="0.25">
      <c r="A217" s="9" t="str">
        <f>IF($B217&gt;Trainingsdaten!$H$3,"",MOD(ROW()-4,Trainingsdaten!$H$4)+1)</f>
        <v/>
      </c>
      <c r="B217" s="11" t="str">
        <f>IF(INT((ROW()-4)/Trainingsdaten!$H$4)+1&gt;Trainingsdaten!$H$3,"",INT((ROW()-4)/Trainingsdaten!$H$4)+1)</f>
        <v/>
      </c>
      <c r="C217" s="9" t="str">
        <f>IF(INT((ROW()-4)/Trainingsdaten!$H$4)+1&gt;Trainingsdaten!$H$3,"",MOD(ROW()-4,Trainingsdaten!$H$4)+1)</f>
        <v/>
      </c>
      <c r="D217" s="9" t="str">
        <f>IF($B217&gt;Trainingsdaten!$H$3,"",INDEX(Trainingsdaten!B:B,$C217+1))</f>
        <v/>
      </c>
      <c r="E217" s="7" t="str">
        <f>IF($B217&gt;Trainingsdaten!$H$3,"",INDEX(Trainingsdaten!C:C,$C217+1))</f>
        <v/>
      </c>
      <c r="F217" s="7" t="str">
        <f>IF($B217&gt;Trainingsdaten!$H$3,"",INDEX(Trainingsdaten!D:D,$C217+1))</f>
        <v/>
      </c>
      <c r="G217" s="7" t="str">
        <f>IF($B217&gt;Trainingsdaten!$H$3,"",INDEX(Trainingsdaten!E:E,$C217+1))</f>
        <v/>
      </c>
      <c r="H217" s="11" t="str">
        <f>IF($B217&gt;Trainingsdaten!$H$3,"",Trainingsdaten!$H$2)</f>
        <v/>
      </c>
      <c r="I217" s="7" t="str">
        <f>IF(B217&gt;Trainingsdaten!$H$3,"",I216+H217*N216*E217)</f>
        <v/>
      </c>
      <c r="J217" s="7" t="str">
        <f>IF(B217&gt;Trainingsdaten!$H$3,"",J216+H217*N216*F217)</f>
        <v/>
      </c>
      <c r="K217" s="7" t="str">
        <f>IF(B217&gt;Trainingsdaten!$H$3,"",K216+H217*N216)</f>
        <v/>
      </c>
      <c r="L217" s="7" t="str">
        <f>IF(B217&gt;Trainingsdaten!$H$3,"",E217*I217+F217*J217+K217)</f>
        <v/>
      </c>
      <c r="M217" s="7" t="str">
        <f>IF(B217&gt;Trainingsdaten!$H$3,"",IF(L217&gt;0,1,0))</f>
        <v/>
      </c>
      <c r="N217" s="7" t="str">
        <f>IF(B217&gt;Trainingsdaten!$H$3,"",G217-M217)</f>
        <v/>
      </c>
    </row>
    <row r="218" spans="1:14" x14ac:dyDescent="0.25">
      <c r="A218" s="9" t="str">
        <f>IF($B218&gt;Trainingsdaten!$H$3,"",MOD(ROW()-4,Trainingsdaten!$H$4)+1)</f>
        <v/>
      </c>
      <c r="B218" s="11" t="str">
        <f>IF(INT((ROW()-4)/Trainingsdaten!$H$4)+1&gt;Trainingsdaten!$H$3,"",INT((ROW()-4)/Trainingsdaten!$H$4)+1)</f>
        <v/>
      </c>
      <c r="C218" s="9" t="str">
        <f>IF(INT((ROW()-4)/Trainingsdaten!$H$4)+1&gt;Trainingsdaten!$H$3,"",MOD(ROW()-4,Trainingsdaten!$H$4)+1)</f>
        <v/>
      </c>
      <c r="D218" s="9" t="str">
        <f>IF($B218&gt;Trainingsdaten!$H$3,"",INDEX(Trainingsdaten!B:B,$C218+1))</f>
        <v/>
      </c>
      <c r="E218" s="7" t="str">
        <f>IF($B218&gt;Trainingsdaten!$H$3,"",INDEX(Trainingsdaten!C:C,$C218+1))</f>
        <v/>
      </c>
      <c r="F218" s="7" t="str">
        <f>IF($B218&gt;Trainingsdaten!$H$3,"",INDEX(Trainingsdaten!D:D,$C218+1))</f>
        <v/>
      </c>
      <c r="G218" s="7" t="str">
        <f>IF($B218&gt;Trainingsdaten!$H$3,"",INDEX(Trainingsdaten!E:E,$C218+1))</f>
        <v/>
      </c>
      <c r="H218" s="11" t="str">
        <f>IF($B218&gt;Trainingsdaten!$H$3,"",Trainingsdaten!$H$2)</f>
        <v/>
      </c>
      <c r="I218" s="7" t="str">
        <f>IF(B218&gt;Trainingsdaten!$H$3,"",I217+H218*N217*E218)</f>
        <v/>
      </c>
      <c r="J218" s="7" t="str">
        <f>IF(B218&gt;Trainingsdaten!$H$3,"",J217+H218*N217*F218)</f>
        <v/>
      </c>
      <c r="K218" s="7" t="str">
        <f>IF(B218&gt;Trainingsdaten!$H$3,"",K217+H218*N217)</f>
        <v/>
      </c>
      <c r="L218" s="7" t="str">
        <f>IF(B218&gt;Trainingsdaten!$H$3,"",E218*I218+F218*J218+K218)</f>
        <v/>
      </c>
      <c r="M218" s="7" t="str">
        <f>IF(B218&gt;Trainingsdaten!$H$3,"",IF(L218&gt;0,1,0))</f>
        <v/>
      </c>
      <c r="N218" s="7" t="str">
        <f>IF(B218&gt;Trainingsdaten!$H$3,"",G218-M218)</f>
        <v/>
      </c>
    </row>
    <row r="219" spans="1:14" x14ac:dyDescent="0.25">
      <c r="A219" s="9" t="str">
        <f>IF($B219&gt;Trainingsdaten!$H$3,"",MOD(ROW()-4,Trainingsdaten!$H$4)+1)</f>
        <v/>
      </c>
      <c r="B219" s="11" t="str">
        <f>IF(INT((ROW()-4)/Trainingsdaten!$H$4)+1&gt;Trainingsdaten!$H$3,"",INT((ROW()-4)/Trainingsdaten!$H$4)+1)</f>
        <v/>
      </c>
      <c r="C219" s="9" t="str">
        <f>IF(INT((ROW()-4)/Trainingsdaten!$H$4)+1&gt;Trainingsdaten!$H$3,"",MOD(ROW()-4,Trainingsdaten!$H$4)+1)</f>
        <v/>
      </c>
      <c r="D219" s="9" t="str">
        <f>IF($B219&gt;Trainingsdaten!$H$3,"",INDEX(Trainingsdaten!B:B,$C219+1))</f>
        <v/>
      </c>
      <c r="E219" s="7" t="str">
        <f>IF($B219&gt;Trainingsdaten!$H$3,"",INDEX(Trainingsdaten!C:C,$C219+1))</f>
        <v/>
      </c>
      <c r="F219" s="7" t="str">
        <f>IF($B219&gt;Trainingsdaten!$H$3,"",INDEX(Trainingsdaten!D:D,$C219+1))</f>
        <v/>
      </c>
      <c r="G219" s="7" t="str">
        <f>IF($B219&gt;Trainingsdaten!$H$3,"",INDEX(Trainingsdaten!E:E,$C219+1))</f>
        <v/>
      </c>
      <c r="H219" s="11" t="str">
        <f>IF($B219&gt;Trainingsdaten!$H$3,"",Trainingsdaten!$H$2)</f>
        <v/>
      </c>
      <c r="I219" s="7" t="str">
        <f>IF(B219&gt;Trainingsdaten!$H$3,"",I218+H219*N218*E219)</f>
        <v/>
      </c>
      <c r="J219" s="7" t="str">
        <f>IF(B219&gt;Trainingsdaten!$H$3,"",J218+H219*N218*F219)</f>
        <v/>
      </c>
      <c r="K219" s="7" t="str">
        <f>IF(B219&gt;Trainingsdaten!$H$3,"",K218+H219*N218)</f>
        <v/>
      </c>
      <c r="L219" s="7" t="str">
        <f>IF(B219&gt;Trainingsdaten!$H$3,"",E219*I219+F219*J219+K219)</f>
        <v/>
      </c>
      <c r="M219" s="7" t="str">
        <f>IF(B219&gt;Trainingsdaten!$H$3,"",IF(L219&gt;0,1,0))</f>
        <v/>
      </c>
      <c r="N219" s="7" t="str">
        <f>IF(B219&gt;Trainingsdaten!$H$3,"",G219-M219)</f>
        <v/>
      </c>
    </row>
    <row r="220" spans="1:14" x14ac:dyDescent="0.25">
      <c r="A220" s="9" t="str">
        <f>IF($B220&gt;Trainingsdaten!$H$3,"",MOD(ROW()-4,Trainingsdaten!$H$4)+1)</f>
        <v/>
      </c>
      <c r="B220" s="11" t="str">
        <f>IF(INT((ROW()-4)/Trainingsdaten!$H$4)+1&gt;Trainingsdaten!$H$3,"",INT((ROW()-4)/Trainingsdaten!$H$4)+1)</f>
        <v/>
      </c>
      <c r="C220" s="9" t="str">
        <f>IF(INT((ROW()-4)/Trainingsdaten!$H$4)+1&gt;Trainingsdaten!$H$3,"",MOD(ROW()-4,Trainingsdaten!$H$4)+1)</f>
        <v/>
      </c>
      <c r="D220" s="9" t="str">
        <f>IF($B220&gt;Trainingsdaten!$H$3,"",INDEX(Trainingsdaten!B:B,$C220+1))</f>
        <v/>
      </c>
      <c r="E220" s="7" t="str">
        <f>IF($B220&gt;Trainingsdaten!$H$3,"",INDEX(Trainingsdaten!C:C,$C220+1))</f>
        <v/>
      </c>
      <c r="F220" s="7" t="str">
        <f>IF($B220&gt;Trainingsdaten!$H$3,"",INDEX(Trainingsdaten!D:D,$C220+1))</f>
        <v/>
      </c>
      <c r="G220" s="7" t="str">
        <f>IF($B220&gt;Trainingsdaten!$H$3,"",INDEX(Trainingsdaten!E:E,$C220+1))</f>
        <v/>
      </c>
      <c r="H220" s="11" t="str">
        <f>IF($B220&gt;Trainingsdaten!$H$3,"",Trainingsdaten!$H$2)</f>
        <v/>
      </c>
      <c r="I220" s="7" t="str">
        <f>IF(B220&gt;Trainingsdaten!$H$3,"",I219+H220*N219*E220)</f>
        <v/>
      </c>
      <c r="J220" s="7" t="str">
        <f>IF(B220&gt;Trainingsdaten!$H$3,"",J219+H220*N219*F220)</f>
        <v/>
      </c>
      <c r="K220" s="7" t="str">
        <f>IF(B220&gt;Trainingsdaten!$H$3,"",K219+H220*N219)</f>
        <v/>
      </c>
      <c r="L220" s="7" t="str">
        <f>IF(B220&gt;Trainingsdaten!$H$3,"",E220*I220+F220*J220+K220)</f>
        <v/>
      </c>
      <c r="M220" s="7" t="str">
        <f>IF(B220&gt;Trainingsdaten!$H$3,"",IF(L220&gt;0,1,0))</f>
        <v/>
      </c>
      <c r="N220" s="7" t="str">
        <f>IF(B220&gt;Trainingsdaten!$H$3,"",G220-M220)</f>
        <v/>
      </c>
    </row>
    <row r="221" spans="1:14" x14ac:dyDescent="0.25">
      <c r="A221" s="9" t="str">
        <f>IF($B221&gt;Trainingsdaten!$H$3,"",MOD(ROW()-4,Trainingsdaten!$H$4)+1)</f>
        <v/>
      </c>
      <c r="B221" s="11" t="str">
        <f>IF(INT((ROW()-4)/Trainingsdaten!$H$4)+1&gt;Trainingsdaten!$H$3,"",INT((ROW()-4)/Trainingsdaten!$H$4)+1)</f>
        <v/>
      </c>
      <c r="C221" s="9" t="str">
        <f>IF(INT((ROW()-4)/Trainingsdaten!$H$4)+1&gt;Trainingsdaten!$H$3,"",MOD(ROW()-4,Trainingsdaten!$H$4)+1)</f>
        <v/>
      </c>
      <c r="D221" s="9" t="str">
        <f>IF($B221&gt;Trainingsdaten!$H$3,"",INDEX(Trainingsdaten!B:B,$C221+1))</f>
        <v/>
      </c>
      <c r="E221" s="7" t="str">
        <f>IF($B221&gt;Trainingsdaten!$H$3,"",INDEX(Trainingsdaten!C:C,$C221+1))</f>
        <v/>
      </c>
      <c r="F221" s="7" t="str">
        <f>IF($B221&gt;Trainingsdaten!$H$3,"",INDEX(Trainingsdaten!D:D,$C221+1))</f>
        <v/>
      </c>
      <c r="G221" s="7" t="str">
        <f>IF($B221&gt;Trainingsdaten!$H$3,"",INDEX(Trainingsdaten!E:E,$C221+1))</f>
        <v/>
      </c>
      <c r="H221" s="11" t="str">
        <f>IF($B221&gt;Trainingsdaten!$H$3,"",Trainingsdaten!$H$2)</f>
        <v/>
      </c>
      <c r="I221" s="7" t="str">
        <f>IF(B221&gt;Trainingsdaten!$H$3,"",I220+H221*N220*E221)</f>
        <v/>
      </c>
      <c r="J221" s="7" t="str">
        <f>IF(B221&gt;Trainingsdaten!$H$3,"",J220+H221*N220*F221)</f>
        <v/>
      </c>
      <c r="K221" s="7" t="str">
        <f>IF(B221&gt;Trainingsdaten!$H$3,"",K220+H221*N220)</f>
        <v/>
      </c>
      <c r="L221" s="7" t="str">
        <f>IF(B221&gt;Trainingsdaten!$H$3,"",E221*I221+F221*J221+K221)</f>
        <v/>
      </c>
      <c r="M221" s="7" t="str">
        <f>IF(B221&gt;Trainingsdaten!$H$3,"",IF(L221&gt;0,1,0))</f>
        <v/>
      </c>
      <c r="N221" s="7" t="str">
        <f>IF(B221&gt;Trainingsdaten!$H$3,"",G221-M221)</f>
        <v/>
      </c>
    </row>
    <row r="222" spans="1:14" x14ac:dyDescent="0.25">
      <c r="A222" s="9" t="str">
        <f>IF($B222&gt;Trainingsdaten!$H$3,"",MOD(ROW()-4,Trainingsdaten!$H$4)+1)</f>
        <v/>
      </c>
      <c r="B222" s="11" t="str">
        <f>IF(INT((ROW()-4)/Trainingsdaten!$H$4)+1&gt;Trainingsdaten!$H$3,"",INT((ROW()-4)/Trainingsdaten!$H$4)+1)</f>
        <v/>
      </c>
      <c r="C222" s="9" t="str">
        <f>IF(INT((ROW()-4)/Trainingsdaten!$H$4)+1&gt;Trainingsdaten!$H$3,"",MOD(ROW()-4,Trainingsdaten!$H$4)+1)</f>
        <v/>
      </c>
      <c r="D222" s="9" t="str">
        <f>IF($B222&gt;Trainingsdaten!$H$3,"",INDEX(Trainingsdaten!B:B,$C222+1))</f>
        <v/>
      </c>
      <c r="E222" s="7" t="str">
        <f>IF($B222&gt;Trainingsdaten!$H$3,"",INDEX(Trainingsdaten!C:C,$C222+1))</f>
        <v/>
      </c>
      <c r="F222" s="7" t="str">
        <f>IF($B222&gt;Trainingsdaten!$H$3,"",INDEX(Trainingsdaten!D:D,$C222+1))</f>
        <v/>
      </c>
      <c r="G222" s="7" t="str">
        <f>IF($B222&gt;Trainingsdaten!$H$3,"",INDEX(Trainingsdaten!E:E,$C222+1))</f>
        <v/>
      </c>
      <c r="H222" s="11" t="str">
        <f>IF($B222&gt;Trainingsdaten!$H$3,"",Trainingsdaten!$H$2)</f>
        <v/>
      </c>
      <c r="I222" s="7" t="str">
        <f>IF(B222&gt;Trainingsdaten!$H$3,"",I221+H222*N221*E222)</f>
        <v/>
      </c>
      <c r="J222" s="7" t="str">
        <f>IF(B222&gt;Trainingsdaten!$H$3,"",J221+H222*N221*F222)</f>
        <v/>
      </c>
      <c r="K222" s="7" t="str">
        <f>IF(B222&gt;Trainingsdaten!$H$3,"",K221+H222*N221)</f>
        <v/>
      </c>
      <c r="L222" s="7" t="str">
        <f>IF(B222&gt;Trainingsdaten!$H$3,"",E222*I222+F222*J222+K222)</f>
        <v/>
      </c>
      <c r="M222" s="7" t="str">
        <f>IF(B222&gt;Trainingsdaten!$H$3,"",IF(L222&gt;0,1,0))</f>
        <v/>
      </c>
      <c r="N222" s="7" t="str">
        <f>IF(B222&gt;Trainingsdaten!$H$3,"",G222-M222)</f>
        <v/>
      </c>
    </row>
    <row r="223" spans="1:14" x14ac:dyDescent="0.25">
      <c r="A223" s="9" t="str">
        <f>IF($B223&gt;Trainingsdaten!$H$3,"",MOD(ROW()-4,Trainingsdaten!$H$4)+1)</f>
        <v/>
      </c>
      <c r="B223" s="11" t="str">
        <f>IF(INT((ROW()-4)/Trainingsdaten!$H$4)+1&gt;Trainingsdaten!$H$3,"",INT((ROW()-4)/Trainingsdaten!$H$4)+1)</f>
        <v/>
      </c>
      <c r="C223" s="9" t="str">
        <f>IF(INT((ROW()-4)/Trainingsdaten!$H$4)+1&gt;Trainingsdaten!$H$3,"",MOD(ROW()-4,Trainingsdaten!$H$4)+1)</f>
        <v/>
      </c>
      <c r="D223" s="9" t="str">
        <f>IF($B223&gt;Trainingsdaten!$H$3,"",INDEX(Trainingsdaten!B:B,$C223+1))</f>
        <v/>
      </c>
      <c r="E223" s="7" t="str">
        <f>IF($B223&gt;Trainingsdaten!$H$3,"",INDEX(Trainingsdaten!C:C,$C223+1))</f>
        <v/>
      </c>
      <c r="F223" s="7" t="str">
        <f>IF($B223&gt;Trainingsdaten!$H$3,"",INDEX(Trainingsdaten!D:D,$C223+1))</f>
        <v/>
      </c>
      <c r="G223" s="7" t="str">
        <f>IF($B223&gt;Trainingsdaten!$H$3,"",INDEX(Trainingsdaten!E:E,$C223+1))</f>
        <v/>
      </c>
      <c r="H223" s="11" t="str">
        <f>IF($B223&gt;Trainingsdaten!$H$3,"",Trainingsdaten!$H$2)</f>
        <v/>
      </c>
      <c r="I223" s="7" t="str">
        <f>IF(B223&gt;Trainingsdaten!$H$3,"",I222+H223*N222*E223)</f>
        <v/>
      </c>
      <c r="J223" s="7" t="str">
        <f>IF(B223&gt;Trainingsdaten!$H$3,"",J222+H223*N222*F223)</f>
        <v/>
      </c>
      <c r="K223" s="7" t="str">
        <f>IF(B223&gt;Trainingsdaten!$H$3,"",K222+H223*N222)</f>
        <v/>
      </c>
      <c r="L223" s="7" t="str">
        <f>IF(B223&gt;Trainingsdaten!$H$3,"",E223*I223+F223*J223+K223)</f>
        <v/>
      </c>
      <c r="M223" s="7" t="str">
        <f>IF(B223&gt;Trainingsdaten!$H$3,"",IF(L223&gt;0,1,0))</f>
        <v/>
      </c>
      <c r="N223" s="7" t="str">
        <f>IF(B223&gt;Trainingsdaten!$H$3,"",G223-M223)</f>
        <v/>
      </c>
    </row>
    <row r="224" spans="1:14" x14ac:dyDescent="0.25">
      <c r="A224" s="9" t="str">
        <f>IF($B224&gt;Trainingsdaten!$H$3,"",MOD(ROW()-4,Trainingsdaten!$H$4)+1)</f>
        <v/>
      </c>
      <c r="B224" s="11" t="str">
        <f>IF(INT((ROW()-4)/Trainingsdaten!$H$4)+1&gt;Trainingsdaten!$H$3,"",INT((ROW()-4)/Trainingsdaten!$H$4)+1)</f>
        <v/>
      </c>
      <c r="C224" s="9" t="str">
        <f>IF(INT((ROW()-4)/Trainingsdaten!$H$4)+1&gt;Trainingsdaten!$H$3,"",MOD(ROW()-4,Trainingsdaten!$H$4)+1)</f>
        <v/>
      </c>
      <c r="D224" s="9" t="str">
        <f>IF($B224&gt;Trainingsdaten!$H$3,"",INDEX(Trainingsdaten!B:B,$C224+1))</f>
        <v/>
      </c>
      <c r="E224" s="7" t="str">
        <f>IF($B224&gt;Trainingsdaten!$H$3,"",INDEX(Trainingsdaten!C:C,$C224+1))</f>
        <v/>
      </c>
      <c r="F224" s="7" t="str">
        <f>IF($B224&gt;Trainingsdaten!$H$3,"",INDEX(Trainingsdaten!D:D,$C224+1))</f>
        <v/>
      </c>
      <c r="G224" s="7" t="str">
        <f>IF($B224&gt;Trainingsdaten!$H$3,"",INDEX(Trainingsdaten!E:E,$C224+1))</f>
        <v/>
      </c>
      <c r="H224" s="11" t="str">
        <f>IF($B224&gt;Trainingsdaten!$H$3,"",Trainingsdaten!$H$2)</f>
        <v/>
      </c>
      <c r="I224" s="7" t="str">
        <f>IF(B224&gt;Trainingsdaten!$H$3,"",I223+H224*N223*E224)</f>
        <v/>
      </c>
      <c r="J224" s="7" t="str">
        <f>IF(B224&gt;Trainingsdaten!$H$3,"",J223+H224*N223*F224)</f>
        <v/>
      </c>
      <c r="K224" s="7" t="str">
        <f>IF(B224&gt;Trainingsdaten!$H$3,"",K223+H224*N223)</f>
        <v/>
      </c>
      <c r="L224" s="7" t="str">
        <f>IF(B224&gt;Trainingsdaten!$H$3,"",E224*I224+F224*J224+K224)</f>
        <v/>
      </c>
      <c r="M224" s="7" t="str">
        <f>IF(B224&gt;Trainingsdaten!$H$3,"",IF(L224&gt;0,1,0))</f>
        <v/>
      </c>
      <c r="N224" s="7" t="str">
        <f>IF(B224&gt;Trainingsdaten!$H$3,"",G224-M224)</f>
        <v/>
      </c>
    </row>
    <row r="225" spans="1:14" x14ac:dyDescent="0.25">
      <c r="A225" s="9" t="str">
        <f>IF($B225&gt;Trainingsdaten!$H$3,"",MOD(ROW()-4,Trainingsdaten!$H$4)+1)</f>
        <v/>
      </c>
      <c r="B225" s="11" t="str">
        <f>IF(INT((ROW()-4)/Trainingsdaten!$H$4)+1&gt;Trainingsdaten!$H$3,"",INT((ROW()-4)/Trainingsdaten!$H$4)+1)</f>
        <v/>
      </c>
      <c r="C225" s="9" t="str">
        <f>IF(INT((ROW()-4)/Trainingsdaten!$H$4)+1&gt;Trainingsdaten!$H$3,"",MOD(ROW()-4,Trainingsdaten!$H$4)+1)</f>
        <v/>
      </c>
      <c r="D225" s="9" t="str">
        <f>IF($B225&gt;Trainingsdaten!$H$3,"",INDEX(Trainingsdaten!B:B,$C225+1))</f>
        <v/>
      </c>
      <c r="E225" s="7" t="str">
        <f>IF($B225&gt;Trainingsdaten!$H$3,"",INDEX(Trainingsdaten!C:C,$C225+1))</f>
        <v/>
      </c>
      <c r="F225" s="7" t="str">
        <f>IF($B225&gt;Trainingsdaten!$H$3,"",INDEX(Trainingsdaten!D:D,$C225+1))</f>
        <v/>
      </c>
      <c r="G225" s="7" t="str">
        <f>IF($B225&gt;Trainingsdaten!$H$3,"",INDEX(Trainingsdaten!E:E,$C225+1))</f>
        <v/>
      </c>
      <c r="H225" s="11" t="str">
        <f>IF($B225&gt;Trainingsdaten!$H$3,"",Trainingsdaten!$H$2)</f>
        <v/>
      </c>
      <c r="I225" s="7" t="str">
        <f>IF(B225&gt;Trainingsdaten!$H$3,"",I224+H225*N224*E225)</f>
        <v/>
      </c>
      <c r="J225" s="7" t="str">
        <f>IF(B225&gt;Trainingsdaten!$H$3,"",J224+H225*N224*F225)</f>
        <v/>
      </c>
      <c r="K225" s="7" t="str">
        <f>IF(B225&gt;Trainingsdaten!$H$3,"",K224+H225*N224)</f>
        <v/>
      </c>
      <c r="L225" s="7" t="str">
        <f>IF(B225&gt;Trainingsdaten!$H$3,"",E225*I225+F225*J225+K225)</f>
        <v/>
      </c>
      <c r="M225" s="7" t="str">
        <f>IF(B225&gt;Trainingsdaten!$H$3,"",IF(L225&gt;0,1,0))</f>
        <v/>
      </c>
      <c r="N225" s="7" t="str">
        <f>IF(B225&gt;Trainingsdaten!$H$3,"",G225-M225)</f>
        <v/>
      </c>
    </row>
    <row r="226" spans="1:14" x14ac:dyDescent="0.25">
      <c r="A226" s="9" t="str">
        <f>IF($B226&gt;Trainingsdaten!$H$3,"",MOD(ROW()-4,Trainingsdaten!$H$4)+1)</f>
        <v/>
      </c>
      <c r="B226" s="11" t="str">
        <f>IF(INT((ROW()-4)/Trainingsdaten!$H$4)+1&gt;Trainingsdaten!$H$3,"",INT((ROW()-4)/Trainingsdaten!$H$4)+1)</f>
        <v/>
      </c>
      <c r="C226" s="9" t="str">
        <f>IF(INT((ROW()-4)/Trainingsdaten!$H$4)+1&gt;Trainingsdaten!$H$3,"",MOD(ROW()-4,Trainingsdaten!$H$4)+1)</f>
        <v/>
      </c>
      <c r="D226" s="9" t="str">
        <f>IF($B226&gt;Trainingsdaten!$H$3,"",INDEX(Trainingsdaten!B:B,$C226+1))</f>
        <v/>
      </c>
      <c r="E226" s="7" t="str">
        <f>IF($B226&gt;Trainingsdaten!$H$3,"",INDEX(Trainingsdaten!C:C,$C226+1))</f>
        <v/>
      </c>
      <c r="F226" s="7" t="str">
        <f>IF($B226&gt;Trainingsdaten!$H$3,"",INDEX(Trainingsdaten!D:D,$C226+1))</f>
        <v/>
      </c>
      <c r="G226" s="7" t="str">
        <f>IF($B226&gt;Trainingsdaten!$H$3,"",INDEX(Trainingsdaten!E:E,$C226+1))</f>
        <v/>
      </c>
      <c r="H226" s="11" t="str">
        <f>IF($B226&gt;Trainingsdaten!$H$3,"",Trainingsdaten!$H$2)</f>
        <v/>
      </c>
      <c r="I226" s="7" t="str">
        <f>IF(B226&gt;Trainingsdaten!$H$3,"",I225+H226*N225*E226)</f>
        <v/>
      </c>
      <c r="J226" s="7" t="str">
        <f>IF(B226&gt;Trainingsdaten!$H$3,"",J225+H226*N225*F226)</f>
        <v/>
      </c>
      <c r="K226" s="7" t="str">
        <f>IF(B226&gt;Trainingsdaten!$H$3,"",K225+H226*N225)</f>
        <v/>
      </c>
      <c r="L226" s="7" t="str">
        <f>IF(B226&gt;Trainingsdaten!$H$3,"",E226*I226+F226*J226+K226)</f>
        <v/>
      </c>
      <c r="M226" s="7" t="str">
        <f>IF(B226&gt;Trainingsdaten!$H$3,"",IF(L226&gt;0,1,0))</f>
        <v/>
      </c>
      <c r="N226" s="7" t="str">
        <f>IF(B226&gt;Trainingsdaten!$H$3,"",G226-M226)</f>
        <v/>
      </c>
    </row>
    <row r="227" spans="1:14" x14ac:dyDescent="0.25">
      <c r="A227" s="9" t="str">
        <f>IF($B227&gt;Trainingsdaten!$H$3,"",MOD(ROW()-4,Trainingsdaten!$H$4)+1)</f>
        <v/>
      </c>
      <c r="B227" s="11" t="str">
        <f>IF(INT((ROW()-4)/Trainingsdaten!$H$4)+1&gt;Trainingsdaten!$H$3,"",INT((ROW()-4)/Trainingsdaten!$H$4)+1)</f>
        <v/>
      </c>
      <c r="C227" s="9" t="str">
        <f>IF(INT((ROW()-4)/Trainingsdaten!$H$4)+1&gt;Trainingsdaten!$H$3,"",MOD(ROW()-4,Trainingsdaten!$H$4)+1)</f>
        <v/>
      </c>
      <c r="D227" s="9" t="str">
        <f>IF($B227&gt;Trainingsdaten!$H$3,"",INDEX(Trainingsdaten!B:B,$C227+1))</f>
        <v/>
      </c>
      <c r="E227" s="7" t="str">
        <f>IF($B227&gt;Trainingsdaten!$H$3,"",INDEX(Trainingsdaten!C:C,$C227+1))</f>
        <v/>
      </c>
      <c r="F227" s="7" t="str">
        <f>IF($B227&gt;Trainingsdaten!$H$3,"",INDEX(Trainingsdaten!D:D,$C227+1))</f>
        <v/>
      </c>
      <c r="G227" s="7" t="str">
        <f>IF($B227&gt;Trainingsdaten!$H$3,"",INDEX(Trainingsdaten!E:E,$C227+1))</f>
        <v/>
      </c>
      <c r="H227" s="11" t="str">
        <f>IF($B227&gt;Trainingsdaten!$H$3,"",Trainingsdaten!$H$2)</f>
        <v/>
      </c>
      <c r="I227" s="7" t="str">
        <f>IF(B227&gt;Trainingsdaten!$H$3,"",I226+H227*N226*E227)</f>
        <v/>
      </c>
      <c r="J227" s="7" t="str">
        <f>IF(B227&gt;Trainingsdaten!$H$3,"",J226+H227*N226*F227)</f>
        <v/>
      </c>
      <c r="K227" s="7" t="str">
        <f>IF(B227&gt;Trainingsdaten!$H$3,"",K226+H227*N226)</f>
        <v/>
      </c>
      <c r="L227" s="7" t="str">
        <f>IF(B227&gt;Trainingsdaten!$H$3,"",E227*I227+F227*J227+K227)</f>
        <v/>
      </c>
      <c r="M227" s="7" t="str">
        <f>IF(B227&gt;Trainingsdaten!$H$3,"",IF(L227&gt;0,1,0))</f>
        <v/>
      </c>
      <c r="N227" s="7" t="str">
        <f>IF(B227&gt;Trainingsdaten!$H$3,"",G227-M227)</f>
        <v/>
      </c>
    </row>
    <row r="228" spans="1:14" x14ac:dyDescent="0.25">
      <c r="A228" s="9" t="str">
        <f>IF($B228&gt;Trainingsdaten!$H$3,"",MOD(ROW()-4,Trainingsdaten!$H$4)+1)</f>
        <v/>
      </c>
      <c r="B228" s="11" t="str">
        <f>IF(INT((ROW()-4)/Trainingsdaten!$H$4)+1&gt;Trainingsdaten!$H$3,"",INT((ROW()-4)/Trainingsdaten!$H$4)+1)</f>
        <v/>
      </c>
      <c r="C228" s="9" t="str">
        <f>IF(INT((ROW()-4)/Trainingsdaten!$H$4)+1&gt;Trainingsdaten!$H$3,"",MOD(ROW()-4,Trainingsdaten!$H$4)+1)</f>
        <v/>
      </c>
      <c r="D228" s="9" t="str">
        <f>IF($B228&gt;Trainingsdaten!$H$3,"",INDEX(Trainingsdaten!B:B,$C228+1))</f>
        <v/>
      </c>
      <c r="E228" s="7" t="str">
        <f>IF($B228&gt;Trainingsdaten!$H$3,"",INDEX(Trainingsdaten!C:C,$C228+1))</f>
        <v/>
      </c>
      <c r="F228" s="7" t="str">
        <f>IF($B228&gt;Trainingsdaten!$H$3,"",INDEX(Trainingsdaten!D:D,$C228+1))</f>
        <v/>
      </c>
      <c r="G228" s="7" t="str">
        <f>IF($B228&gt;Trainingsdaten!$H$3,"",INDEX(Trainingsdaten!E:E,$C228+1))</f>
        <v/>
      </c>
      <c r="H228" s="11" t="str">
        <f>IF($B228&gt;Trainingsdaten!$H$3,"",Trainingsdaten!$H$2)</f>
        <v/>
      </c>
      <c r="I228" s="7" t="str">
        <f>IF(B228&gt;Trainingsdaten!$H$3,"",I227+H228*N227*E228)</f>
        <v/>
      </c>
      <c r="J228" s="7" t="str">
        <f>IF(B228&gt;Trainingsdaten!$H$3,"",J227+H228*N227*F228)</f>
        <v/>
      </c>
      <c r="K228" s="7" t="str">
        <f>IF(B228&gt;Trainingsdaten!$H$3,"",K227+H228*N227)</f>
        <v/>
      </c>
      <c r="L228" s="7" t="str">
        <f>IF(B228&gt;Trainingsdaten!$H$3,"",E228*I228+F228*J228+K228)</f>
        <v/>
      </c>
      <c r="M228" s="7" t="str">
        <f>IF(B228&gt;Trainingsdaten!$H$3,"",IF(L228&gt;0,1,0))</f>
        <v/>
      </c>
      <c r="N228" s="7" t="str">
        <f>IF(B228&gt;Trainingsdaten!$H$3,"",G228-M228)</f>
        <v/>
      </c>
    </row>
    <row r="229" spans="1:14" x14ac:dyDescent="0.25">
      <c r="A229" s="9" t="str">
        <f>IF($B229&gt;Trainingsdaten!$H$3,"",MOD(ROW()-4,Trainingsdaten!$H$4)+1)</f>
        <v/>
      </c>
      <c r="B229" s="11" t="str">
        <f>IF(INT((ROW()-4)/Trainingsdaten!$H$4)+1&gt;Trainingsdaten!$H$3,"",INT((ROW()-4)/Trainingsdaten!$H$4)+1)</f>
        <v/>
      </c>
      <c r="C229" s="9" t="str">
        <f>IF(INT((ROW()-4)/Trainingsdaten!$H$4)+1&gt;Trainingsdaten!$H$3,"",MOD(ROW()-4,Trainingsdaten!$H$4)+1)</f>
        <v/>
      </c>
      <c r="D229" s="9" t="str">
        <f>IF($B229&gt;Trainingsdaten!$H$3,"",INDEX(Trainingsdaten!B:B,$C229+1))</f>
        <v/>
      </c>
      <c r="E229" s="7" t="str">
        <f>IF($B229&gt;Trainingsdaten!$H$3,"",INDEX(Trainingsdaten!C:C,$C229+1))</f>
        <v/>
      </c>
      <c r="F229" s="7" t="str">
        <f>IF($B229&gt;Trainingsdaten!$H$3,"",INDEX(Trainingsdaten!D:D,$C229+1))</f>
        <v/>
      </c>
      <c r="G229" s="7" t="str">
        <f>IF($B229&gt;Trainingsdaten!$H$3,"",INDEX(Trainingsdaten!E:E,$C229+1))</f>
        <v/>
      </c>
      <c r="H229" s="11" t="str">
        <f>IF($B229&gt;Trainingsdaten!$H$3,"",Trainingsdaten!$H$2)</f>
        <v/>
      </c>
      <c r="I229" s="7" t="str">
        <f>IF(B229&gt;Trainingsdaten!$H$3,"",I228+H229*N228*E229)</f>
        <v/>
      </c>
      <c r="J229" s="7" t="str">
        <f>IF(B229&gt;Trainingsdaten!$H$3,"",J228+H229*N228*F229)</f>
        <v/>
      </c>
      <c r="K229" s="7" t="str">
        <f>IF(B229&gt;Trainingsdaten!$H$3,"",K228+H229*N228)</f>
        <v/>
      </c>
      <c r="L229" s="7" t="str">
        <f>IF(B229&gt;Trainingsdaten!$H$3,"",E229*I229+F229*J229+K229)</f>
        <v/>
      </c>
      <c r="M229" s="7" t="str">
        <f>IF(B229&gt;Trainingsdaten!$H$3,"",IF(L229&gt;0,1,0))</f>
        <v/>
      </c>
      <c r="N229" s="7" t="str">
        <f>IF(B229&gt;Trainingsdaten!$H$3,"",G229-M229)</f>
        <v/>
      </c>
    </row>
    <row r="230" spans="1:14" x14ac:dyDescent="0.25">
      <c r="A230" s="9" t="str">
        <f>IF($B230&gt;Trainingsdaten!$H$3,"",MOD(ROW()-4,Trainingsdaten!$H$4)+1)</f>
        <v/>
      </c>
      <c r="B230" s="11" t="str">
        <f>IF(INT((ROW()-4)/Trainingsdaten!$H$4)+1&gt;Trainingsdaten!$H$3,"",INT((ROW()-4)/Trainingsdaten!$H$4)+1)</f>
        <v/>
      </c>
      <c r="C230" s="9" t="str">
        <f>IF(INT((ROW()-4)/Trainingsdaten!$H$4)+1&gt;Trainingsdaten!$H$3,"",MOD(ROW()-4,Trainingsdaten!$H$4)+1)</f>
        <v/>
      </c>
      <c r="D230" s="9" t="str">
        <f>IF($B230&gt;Trainingsdaten!$H$3,"",INDEX(Trainingsdaten!B:B,$C230+1))</f>
        <v/>
      </c>
      <c r="E230" s="7" t="str">
        <f>IF($B230&gt;Trainingsdaten!$H$3,"",INDEX(Trainingsdaten!C:C,$C230+1))</f>
        <v/>
      </c>
      <c r="F230" s="7" t="str">
        <f>IF($B230&gt;Trainingsdaten!$H$3,"",INDEX(Trainingsdaten!D:D,$C230+1))</f>
        <v/>
      </c>
      <c r="G230" s="7" t="str">
        <f>IF($B230&gt;Trainingsdaten!$H$3,"",INDEX(Trainingsdaten!E:E,$C230+1))</f>
        <v/>
      </c>
      <c r="H230" s="11" t="str">
        <f>IF($B230&gt;Trainingsdaten!$H$3,"",Trainingsdaten!$H$2)</f>
        <v/>
      </c>
      <c r="I230" s="7" t="str">
        <f>IF(B230&gt;Trainingsdaten!$H$3,"",I229+H230*N229*E230)</f>
        <v/>
      </c>
      <c r="J230" s="7" t="str">
        <f>IF(B230&gt;Trainingsdaten!$H$3,"",J229+H230*N229*F230)</f>
        <v/>
      </c>
      <c r="K230" s="7" t="str">
        <f>IF(B230&gt;Trainingsdaten!$H$3,"",K229+H230*N229)</f>
        <v/>
      </c>
      <c r="L230" s="7" t="str">
        <f>IF(B230&gt;Trainingsdaten!$H$3,"",E230*I230+F230*J230+K230)</f>
        <v/>
      </c>
      <c r="M230" s="7" t="str">
        <f>IF(B230&gt;Trainingsdaten!$H$3,"",IF(L230&gt;0,1,0))</f>
        <v/>
      </c>
      <c r="N230" s="7" t="str">
        <f>IF(B230&gt;Trainingsdaten!$H$3,"",G230-M230)</f>
        <v/>
      </c>
    </row>
    <row r="231" spans="1:14" x14ac:dyDescent="0.25">
      <c r="A231" s="9" t="str">
        <f>IF($B231&gt;Trainingsdaten!$H$3,"",MOD(ROW()-4,Trainingsdaten!$H$4)+1)</f>
        <v/>
      </c>
      <c r="B231" s="11" t="str">
        <f>IF(INT((ROW()-4)/Trainingsdaten!$H$4)+1&gt;Trainingsdaten!$H$3,"",INT((ROW()-4)/Trainingsdaten!$H$4)+1)</f>
        <v/>
      </c>
      <c r="C231" s="9" t="str">
        <f>IF(INT((ROW()-4)/Trainingsdaten!$H$4)+1&gt;Trainingsdaten!$H$3,"",MOD(ROW()-4,Trainingsdaten!$H$4)+1)</f>
        <v/>
      </c>
      <c r="D231" s="9" t="str">
        <f>IF($B231&gt;Trainingsdaten!$H$3,"",INDEX(Trainingsdaten!B:B,$C231+1))</f>
        <v/>
      </c>
      <c r="E231" s="7" t="str">
        <f>IF($B231&gt;Trainingsdaten!$H$3,"",INDEX(Trainingsdaten!C:C,$C231+1))</f>
        <v/>
      </c>
      <c r="F231" s="7" t="str">
        <f>IF($B231&gt;Trainingsdaten!$H$3,"",INDEX(Trainingsdaten!D:D,$C231+1))</f>
        <v/>
      </c>
      <c r="G231" s="7" t="str">
        <f>IF($B231&gt;Trainingsdaten!$H$3,"",INDEX(Trainingsdaten!E:E,$C231+1))</f>
        <v/>
      </c>
      <c r="H231" s="11" t="str">
        <f>IF($B231&gt;Trainingsdaten!$H$3,"",Trainingsdaten!$H$2)</f>
        <v/>
      </c>
      <c r="I231" s="7" t="str">
        <f>IF(B231&gt;Trainingsdaten!$H$3,"",I230+H231*N230*E231)</f>
        <v/>
      </c>
      <c r="J231" s="7" t="str">
        <f>IF(B231&gt;Trainingsdaten!$H$3,"",J230+H231*N230*F231)</f>
        <v/>
      </c>
      <c r="K231" s="7" t="str">
        <f>IF(B231&gt;Trainingsdaten!$H$3,"",K230+H231*N230)</f>
        <v/>
      </c>
      <c r="L231" s="7" t="str">
        <f>IF(B231&gt;Trainingsdaten!$H$3,"",E231*I231+F231*J231+K231)</f>
        <v/>
      </c>
      <c r="M231" s="7" t="str">
        <f>IF(B231&gt;Trainingsdaten!$H$3,"",IF(L231&gt;0,1,0))</f>
        <v/>
      </c>
      <c r="N231" s="7" t="str">
        <f>IF(B231&gt;Trainingsdaten!$H$3,"",G231-M231)</f>
        <v/>
      </c>
    </row>
    <row r="232" spans="1:14" x14ac:dyDescent="0.25">
      <c r="A232" s="9" t="str">
        <f>IF($B232&gt;Trainingsdaten!$H$3,"",MOD(ROW()-4,Trainingsdaten!$H$4)+1)</f>
        <v/>
      </c>
      <c r="B232" s="11" t="str">
        <f>IF(INT((ROW()-4)/Trainingsdaten!$H$4)+1&gt;Trainingsdaten!$H$3,"",INT((ROW()-4)/Trainingsdaten!$H$4)+1)</f>
        <v/>
      </c>
      <c r="C232" s="9" t="str">
        <f>IF(INT((ROW()-4)/Trainingsdaten!$H$4)+1&gt;Trainingsdaten!$H$3,"",MOD(ROW()-4,Trainingsdaten!$H$4)+1)</f>
        <v/>
      </c>
      <c r="D232" s="9" t="str">
        <f>IF($B232&gt;Trainingsdaten!$H$3,"",INDEX(Trainingsdaten!B:B,$C232+1))</f>
        <v/>
      </c>
      <c r="E232" s="7" t="str">
        <f>IF($B232&gt;Trainingsdaten!$H$3,"",INDEX(Trainingsdaten!C:C,$C232+1))</f>
        <v/>
      </c>
      <c r="F232" s="7" t="str">
        <f>IF($B232&gt;Trainingsdaten!$H$3,"",INDEX(Trainingsdaten!D:D,$C232+1))</f>
        <v/>
      </c>
      <c r="G232" s="7" t="str">
        <f>IF($B232&gt;Trainingsdaten!$H$3,"",INDEX(Trainingsdaten!E:E,$C232+1))</f>
        <v/>
      </c>
      <c r="H232" s="11" t="str">
        <f>IF($B232&gt;Trainingsdaten!$H$3,"",Trainingsdaten!$H$2)</f>
        <v/>
      </c>
      <c r="I232" s="7" t="str">
        <f>IF(B232&gt;Trainingsdaten!$H$3,"",I231+H232*N231*E232)</f>
        <v/>
      </c>
      <c r="J232" s="7" t="str">
        <f>IF(B232&gt;Trainingsdaten!$H$3,"",J231+H232*N231*F232)</f>
        <v/>
      </c>
      <c r="K232" s="7" t="str">
        <f>IF(B232&gt;Trainingsdaten!$H$3,"",K231+H232*N231)</f>
        <v/>
      </c>
      <c r="L232" s="7" t="str">
        <f>IF(B232&gt;Trainingsdaten!$H$3,"",E232*I232+F232*J232+K232)</f>
        <v/>
      </c>
      <c r="M232" s="7" t="str">
        <f>IF(B232&gt;Trainingsdaten!$H$3,"",IF(L232&gt;0,1,0))</f>
        <v/>
      </c>
      <c r="N232" s="7" t="str">
        <f>IF(B232&gt;Trainingsdaten!$H$3,"",G232-M232)</f>
        <v/>
      </c>
    </row>
    <row r="233" spans="1:14" x14ac:dyDescent="0.25">
      <c r="A233" s="9" t="str">
        <f>IF($B233&gt;Trainingsdaten!$H$3,"",MOD(ROW()-4,Trainingsdaten!$H$4)+1)</f>
        <v/>
      </c>
      <c r="B233" s="11" t="str">
        <f>IF(INT((ROW()-4)/Trainingsdaten!$H$4)+1&gt;Trainingsdaten!$H$3,"",INT((ROW()-4)/Trainingsdaten!$H$4)+1)</f>
        <v/>
      </c>
      <c r="C233" s="9" t="str">
        <f>IF(INT((ROW()-4)/Trainingsdaten!$H$4)+1&gt;Trainingsdaten!$H$3,"",MOD(ROW()-4,Trainingsdaten!$H$4)+1)</f>
        <v/>
      </c>
      <c r="D233" s="9" t="str">
        <f>IF($B233&gt;Trainingsdaten!$H$3,"",INDEX(Trainingsdaten!B:B,$C233+1))</f>
        <v/>
      </c>
      <c r="E233" s="7" t="str">
        <f>IF($B233&gt;Trainingsdaten!$H$3,"",INDEX(Trainingsdaten!C:C,$C233+1))</f>
        <v/>
      </c>
      <c r="F233" s="7" t="str">
        <f>IF($B233&gt;Trainingsdaten!$H$3,"",INDEX(Trainingsdaten!D:D,$C233+1))</f>
        <v/>
      </c>
      <c r="G233" s="7" t="str">
        <f>IF($B233&gt;Trainingsdaten!$H$3,"",INDEX(Trainingsdaten!E:E,$C233+1))</f>
        <v/>
      </c>
      <c r="H233" s="11" t="str">
        <f>IF($B233&gt;Trainingsdaten!$H$3,"",Trainingsdaten!$H$2)</f>
        <v/>
      </c>
      <c r="I233" s="7" t="str">
        <f>IF(B233&gt;Trainingsdaten!$H$3,"",I232+H233*N232*E233)</f>
        <v/>
      </c>
      <c r="J233" s="7" t="str">
        <f>IF(B233&gt;Trainingsdaten!$H$3,"",J232+H233*N232*F233)</f>
        <v/>
      </c>
      <c r="K233" s="7" t="str">
        <f>IF(B233&gt;Trainingsdaten!$H$3,"",K232+H233*N232)</f>
        <v/>
      </c>
      <c r="L233" s="7" t="str">
        <f>IF(B233&gt;Trainingsdaten!$H$3,"",E233*I233+F233*J233+K233)</f>
        <v/>
      </c>
      <c r="M233" s="7" t="str">
        <f>IF(B233&gt;Trainingsdaten!$H$3,"",IF(L233&gt;0,1,0))</f>
        <v/>
      </c>
      <c r="N233" s="7" t="str">
        <f>IF(B233&gt;Trainingsdaten!$H$3,"",G233-M233)</f>
        <v/>
      </c>
    </row>
    <row r="234" spans="1:14" x14ac:dyDescent="0.25">
      <c r="A234" s="9" t="str">
        <f>IF($B234&gt;Trainingsdaten!$H$3,"",MOD(ROW()-4,Trainingsdaten!$H$4)+1)</f>
        <v/>
      </c>
      <c r="B234" s="11" t="str">
        <f>IF(INT((ROW()-4)/Trainingsdaten!$H$4)+1&gt;Trainingsdaten!$H$3,"",INT((ROW()-4)/Trainingsdaten!$H$4)+1)</f>
        <v/>
      </c>
      <c r="C234" s="9" t="str">
        <f>IF(INT((ROW()-4)/Trainingsdaten!$H$4)+1&gt;Trainingsdaten!$H$3,"",MOD(ROW()-4,Trainingsdaten!$H$4)+1)</f>
        <v/>
      </c>
      <c r="D234" s="9" t="str">
        <f>IF($B234&gt;Trainingsdaten!$H$3,"",INDEX(Trainingsdaten!B:B,$C234+1))</f>
        <v/>
      </c>
      <c r="E234" s="7" t="str">
        <f>IF($B234&gt;Trainingsdaten!$H$3,"",INDEX(Trainingsdaten!C:C,$C234+1))</f>
        <v/>
      </c>
      <c r="F234" s="7" t="str">
        <f>IF($B234&gt;Trainingsdaten!$H$3,"",INDEX(Trainingsdaten!D:D,$C234+1))</f>
        <v/>
      </c>
      <c r="G234" s="7" t="str">
        <f>IF($B234&gt;Trainingsdaten!$H$3,"",INDEX(Trainingsdaten!E:E,$C234+1))</f>
        <v/>
      </c>
      <c r="H234" s="11" t="str">
        <f>IF($B234&gt;Trainingsdaten!$H$3,"",Trainingsdaten!$H$2)</f>
        <v/>
      </c>
      <c r="I234" s="7" t="str">
        <f>IF(B234&gt;Trainingsdaten!$H$3,"",I233+H234*N233*E234)</f>
        <v/>
      </c>
      <c r="J234" s="7" t="str">
        <f>IF(B234&gt;Trainingsdaten!$H$3,"",J233+H234*N233*F234)</f>
        <v/>
      </c>
      <c r="K234" s="7" t="str">
        <f>IF(B234&gt;Trainingsdaten!$H$3,"",K233+H234*N233)</f>
        <v/>
      </c>
      <c r="L234" s="7" t="str">
        <f>IF(B234&gt;Trainingsdaten!$H$3,"",E234*I234+F234*J234+K234)</f>
        <v/>
      </c>
      <c r="M234" s="7" t="str">
        <f>IF(B234&gt;Trainingsdaten!$H$3,"",IF(L234&gt;0,1,0))</f>
        <v/>
      </c>
      <c r="N234" s="7" t="str">
        <f>IF(B234&gt;Trainingsdaten!$H$3,"",G234-M234)</f>
        <v/>
      </c>
    </row>
    <row r="235" spans="1:14" x14ac:dyDescent="0.25">
      <c r="A235" s="9" t="str">
        <f>IF($B235&gt;Trainingsdaten!$H$3,"",MOD(ROW()-4,Trainingsdaten!$H$4)+1)</f>
        <v/>
      </c>
      <c r="B235" s="11" t="str">
        <f>IF(INT((ROW()-4)/Trainingsdaten!$H$4)+1&gt;Trainingsdaten!$H$3,"",INT((ROW()-4)/Trainingsdaten!$H$4)+1)</f>
        <v/>
      </c>
      <c r="C235" s="9" t="str">
        <f>IF(INT((ROW()-4)/Trainingsdaten!$H$4)+1&gt;Trainingsdaten!$H$3,"",MOD(ROW()-4,Trainingsdaten!$H$4)+1)</f>
        <v/>
      </c>
      <c r="D235" s="9" t="str">
        <f>IF($B235&gt;Trainingsdaten!$H$3,"",INDEX(Trainingsdaten!B:B,$C235+1))</f>
        <v/>
      </c>
      <c r="E235" s="7" t="str">
        <f>IF($B235&gt;Trainingsdaten!$H$3,"",INDEX(Trainingsdaten!C:C,$C235+1))</f>
        <v/>
      </c>
      <c r="F235" s="7" t="str">
        <f>IF($B235&gt;Trainingsdaten!$H$3,"",INDEX(Trainingsdaten!D:D,$C235+1))</f>
        <v/>
      </c>
      <c r="G235" s="7" t="str">
        <f>IF($B235&gt;Trainingsdaten!$H$3,"",INDEX(Trainingsdaten!E:E,$C235+1))</f>
        <v/>
      </c>
      <c r="H235" s="11" t="str">
        <f>IF($B235&gt;Trainingsdaten!$H$3,"",Trainingsdaten!$H$2)</f>
        <v/>
      </c>
      <c r="I235" s="7" t="str">
        <f>IF(B235&gt;Trainingsdaten!$H$3,"",I234+H235*N234*E235)</f>
        <v/>
      </c>
      <c r="J235" s="7" t="str">
        <f>IF(B235&gt;Trainingsdaten!$H$3,"",J234+H235*N234*F235)</f>
        <v/>
      </c>
      <c r="K235" s="7" t="str">
        <f>IF(B235&gt;Trainingsdaten!$H$3,"",K234+H235*N234)</f>
        <v/>
      </c>
      <c r="L235" s="7" t="str">
        <f>IF(B235&gt;Trainingsdaten!$H$3,"",E235*I235+F235*J235+K235)</f>
        <v/>
      </c>
      <c r="M235" s="7" t="str">
        <f>IF(B235&gt;Trainingsdaten!$H$3,"",IF(L235&gt;0,1,0))</f>
        <v/>
      </c>
      <c r="N235" s="7" t="str">
        <f>IF(B235&gt;Trainingsdaten!$H$3,"",G235-M235)</f>
        <v/>
      </c>
    </row>
    <row r="236" spans="1:14" x14ac:dyDescent="0.25">
      <c r="A236" s="9" t="str">
        <f>IF($B236&gt;Trainingsdaten!$H$3,"",MOD(ROW()-4,Trainingsdaten!$H$4)+1)</f>
        <v/>
      </c>
      <c r="B236" s="11" t="str">
        <f>IF(INT((ROW()-4)/Trainingsdaten!$H$4)+1&gt;Trainingsdaten!$H$3,"",INT((ROW()-4)/Trainingsdaten!$H$4)+1)</f>
        <v/>
      </c>
      <c r="C236" s="9" t="str">
        <f>IF(INT((ROW()-4)/Trainingsdaten!$H$4)+1&gt;Trainingsdaten!$H$3,"",MOD(ROW()-4,Trainingsdaten!$H$4)+1)</f>
        <v/>
      </c>
      <c r="D236" s="9" t="str">
        <f>IF($B236&gt;Trainingsdaten!$H$3,"",INDEX(Trainingsdaten!B:B,$C236+1))</f>
        <v/>
      </c>
      <c r="E236" s="7" t="str">
        <f>IF($B236&gt;Trainingsdaten!$H$3,"",INDEX(Trainingsdaten!C:C,$C236+1))</f>
        <v/>
      </c>
      <c r="F236" s="7" t="str">
        <f>IF($B236&gt;Trainingsdaten!$H$3,"",INDEX(Trainingsdaten!D:D,$C236+1))</f>
        <v/>
      </c>
      <c r="G236" s="7" t="str">
        <f>IF($B236&gt;Trainingsdaten!$H$3,"",INDEX(Trainingsdaten!E:E,$C236+1))</f>
        <v/>
      </c>
      <c r="H236" s="11" t="str">
        <f>IF($B236&gt;Trainingsdaten!$H$3,"",Trainingsdaten!$H$2)</f>
        <v/>
      </c>
      <c r="I236" s="7" t="str">
        <f>IF(B236&gt;Trainingsdaten!$H$3,"",I235+H236*N235*E236)</f>
        <v/>
      </c>
      <c r="J236" s="7" t="str">
        <f>IF(B236&gt;Trainingsdaten!$H$3,"",J235+H236*N235*F236)</f>
        <v/>
      </c>
      <c r="K236" s="7" t="str">
        <f>IF(B236&gt;Trainingsdaten!$H$3,"",K235+H236*N235)</f>
        <v/>
      </c>
      <c r="L236" s="7" t="str">
        <f>IF(B236&gt;Trainingsdaten!$H$3,"",E236*I236+F236*J236+K236)</f>
        <v/>
      </c>
      <c r="M236" s="7" t="str">
        <f>IF(B236&gt;Trainingsdaten!$H$3,"",IF(L236&gt;0,1,0))</f>
        <v/>
      </c>
      <c r="N236" s="7" t="str">
        <f>IF(B236&gt;Trainingsdaten!$H$3,"",G236-M236)</f>
        <v/>
      </c>
    </row>
    <row r="237" spans="1:14" x14ac:dyDescent="0.25">
      <c r="A237" s="9" t="str">
        <f>IF($B237&gt;Trainingsdaten!$H$3,"",MOD(ROW()-4,Trainingsdaten!$H$4)+1)</f>
        <v/>
      </c>
      <c r="B237" s="11" t="str">
        <f>IF(INT((ROW()-4)/Trainingsdaten!$H$4)+1&gt;Trainingsdaten!$H$3,"",INT((ROW()-4)/Trainingsdaten!$H$4)+1)</f>
        <v/>
      </c>
      <c r="C237" s="9" t="str">
        <f>IF(INT((ROW()-4)/Trainingsdaten!$H$4)+1&gt;Trainingsdaten!$H$3,"",MOD(ROW()-4,Trainingsdaten!$H$4)+1)</f>
        <v/>
      </c>
      <c r="D237" s="9" t="str">
        <f>IF($B237&gt;Trainingsdaten!$H$3,"",INDEX(Trainingsdaten!B:B,$C237+1))</f>
        <v/>
      </c>
      <c r="E237" s="7" t="str">
        <f>IF($B237&gt;Trainingsdaten!$H$3,"",INDEX(Trainingsdaten!C:C,$C237+1))</f>
        <v/>
      </c>
      <c r="F237" s="7" t="str">
        <f>IF($B237&gt;Trainingsdaten!$H$3,"",INDEX(Trainingsdaten!D:D,$C237+1))</f>
        <v/>
      </c>
      <c r="G237" s="7" t="str">
        <f>IF($B237&gt;Trainingsdaten!$H$3,"",INDEX(Trainingsdaten!E:E,$C237+1))</f>
        <v/>
      </c>
      <c r="H237" s="11" t="str">
        <f>IF($B237&gt;Trainingsdaten!$H$3,"",Trainingsdaten!$H$2)</f>
        <v/>
      </c>
      <c r="I237" s="7" t="str">
        <f>IF(B237&gt;Trainingsdaten!$H$3,"",I236+H237*N236*E237)</f>
        <v/>
      </c>
      <c r="J237" s="7" t="str">
        <f>IF(B237&gt;Trainingsdaten!$H$3,"",J236+H237*N236*F237)</f>
        <v/>
      </c>
      <c r="K237" s="7" t="str">
        <f>IF(B237&gt;Trainingsdaten!$H$3,"",K236+H237*N236)</f>
        <v/>
      </c>
      <c r="L237" s="7" t="str">
        <f>IF(B237&gt;Trainingsdaten!$H$3,"",E237*I237+F237*J237+K237)</f>
        <v/>
      </c>
      <c r="M237" s="7" t="str">
        <f>IF(B237&gt;Trainingsdaten!$H$3,"",IF(L237&gt;0,1,0))</f>
        <v/>
      </c>
      <c r="N237" s="7" t="str">
        <f>IF(B237&gt;Trainingsdaten!$H$3,"",G237-M237)</f>
        <v/>
      </c>
    </row>
    <row r="238" spans="1:14" x14ac:dyDescent="0.25">
      <c r="A238" s="9" t="str">
        <f>IF($B238&gt;Trainingsdaten!$H$3,"",MOD(ROW()-4,Trainingsdaten!$H$4)+1)</f>
        <v/>
      </c>
      <c r="B238" s="11" t="str">
        <f>IF(INT((ROW()-4)/Trainingsdaten!$H$4)+1&gt;Trainingsdaten!$H$3,"",INT((ROW()-4)/Trainingsdaten!$H$4)+1)</f>
        <v/>
      </c>
      <c r="C238" s="9" t="str">
        <f>IF(INT((ROW()-4)/Trainingsdaten!$H$4)+1&gt;Trainingsdaten!$H$3,"",MOD(ROW()-4,Trainingsdaten!$H$4)+1)</f>
        <v/>
      </c>
      <c r="D238" s="9" t="str">
        <f>IF($B238&gt;Trainingsdaten!$H$3,"",INDEX(Trainingsdaten!B:B,$C238+1))</f>
        <v/>
      </c>
      <c r="E238" s="7" t="str">
        <f>IF($B238&gt;Trainingsdaten!$H$3,"",INDEX(Trainingsdaten!C:C,$C238+1))</f>
        <v/>
      </c>
      <c r="F238" s="7" t="str">
        <f>IF($B238&gt;Trainingsdaten!$H$3,"",INDEX(Trainingsdaten!D:D,$C238+1))</f>
        <v/>
      </c>
      <c r="G238" s="7" t="str">
        <f>IF($B238&gt;Trainingsdaten!$H$3,"",INDEX(Trainingsdaten!E:E,$C238+1))</f>
        <v/>
      </c>
      <c r="H238" s="11" t="str">
        <f>IF($B238&gt;Trainingsdaten!$H$3,"",Trainingsdaten!$H$2)</f>
        <v/>
      </c>
      <c r="I238" s="7" t="str">
        <f>IF(B238&gt;Trainingsdaten!$H$3,"",I237+H238*N237*E238)</f>
        <v/>
      </c>
      <c r="J238" s="7" t="str">
        <f>IF(B238&gt;Trainingsdaten!$H$3,"",J237+H238*N237*F238)</f>
        <v/>
      </c>
      <c r="K238" s="7" t="str">
        <f>IF(B238&gt;Trainingsdaten!$H$3,"",K237+H238*N237)</f>
        <v/>
      </c>
      <c r="L238" s="7" t="str">
        <f>IF(B238&gt;Trainingsdaten!$H$3,"",E238*I238+F238*J238+K238)</f>
        <v/>
      </c>
      <c r="M238" s="7" t="str">
        <f>IF(B238&gt;Trainingsdaten!$H$3,"",IF(L238&gt;0,1,0))</f>
        <v/>
      </c>
      <c r="N238" s="7" t="str">
        <f>IF(B238&gt;Trainingsdaten!$H$3,"",G238-M238)</f>
        <v/>
      </c>
    </row>
    <row r="239" spans="1:14" x14ac:dyDescent="0.25">
      <c r="A239" s="9" t="str">
        <f>IF($B239&gt;Trainingsdaten!$H$3,"",MOD(ROW()-4,Trainingsdaten!$H$4)+1)</f>
        <v/>
      </c>
      <c r="B239" s="11" t="str">
        <f>IF(INT((ROW()-4)/Trainingsdaten!$H$4)+1&gt;Trainingsdaten!$H$3,"",INT((ROW()-4)/Trainingsdaten!$H$4)+1)</f>
        <v/>
      </c>
      <c r="C239" s="9" t="str">
        <f>IF(INT((ROW()-4)/Trainingsdaten!$H$4)+1&gt;Trainingsdaten!$H$3,"",MOD(ROW()-4,Trainingsdaten!$H$4)+1)</f>
        <v/>
      </c>
      <c r="D239" s="9" t="str">
        <f>IF($B239&gt;Trainingsdaten!$H$3,"",INDEX(Trainingsdaten!B:B,$C239+1))</f>
        <v/>
      </c>
      <c r="E239" s="7" t="str">
        <f>IF($B239&gt;Trainingsdaten!$H$3,"",INDEX(Trainingsdaten!C:C,$C239+1))</f>
        <v/>
      </c>
      <c r="F239" s="7" t="str">
        <f>IF($B239&gt;Trainingsdaten!$H$3,"",INDEX(Trainingsdaten!D:D,$C239+1))</f>
        <v/>
      </c>
      <c r="G239" s="7" t="str">
        <f>IF($B239&gt;Trainingsdaten!$H$3,"",INDEX(Trainingsdaten!E:E,$C239+1))</f>
        <v/>
      </c>
      <c r="H239" s="11" t="str">
        <f>IF($B239&gt;Trainingsdaten!$H$3,"",Trainingsdaten!$H$2)</f>
        <v/>
      </c>
      <c r="I239" s="7" t="str">
        <f>IF(B239&gt;Trainingsdaten!$H$3,"",I238+H239*N238*E239)</f>
        <v/>
      </c>
      <c r="J239" s="7" t="str">
        <f>IF(B239&gt;Trainingsdaten!$H$3,"",J238+H239*N238*F239)</f>
        <v/>
      </c>
      <c r="K239" s="7" t="str">
        <f>IF(B239&gt;Trainingsdaten!$H$3,"",K238+H239*N238)</f>
        <v/>
      </c>
      <c r="L239" s="7" t="str">
        <f>IF(B239&gt;Trainingsdaten!$H$3,"",E239*I239+F239*J239+K239)</f>
        <v/>
      </c>
      <c r="M239" s="7" t="str">
        <f>IF(B239&gt;Trainingsdaten!$H$3,"",IF(L239&gt;0,1,0))</f>
        <v/>
      </c>
      <c r="N239" s="7" t="str">
        <f>IF(B239&gt;Trainingsdaten!$H$3,"",G239-M239)</f>
        <v/>
      </c>
    </row>
    <row r="240" spans="1:14" x14ac:dyDescent="0.25">
      <c r="A240" s="9" t="str">
        <f>IF($B240&gt;Trainingsdaten!$H$3,"",MOD(ROW()-4,Trainingsdaten!$H$4)+1)</f>
        <v/>
      </c>
      <c r="B240" s="11" t="str">
        <f>IF(INT((ROW()-4)/Trainingsdaten!$H$4)+1&gt;Trainingsdaten!$H$3,"",INT((ROW()-4)/Trainingsdaten!$H$4)+1)</f>
        <v/>
      </c>
      <c r="C240" s="9" t="str">
        <f>IF(INT((ROW()-4)/Trainingsdaten!$H$4)+1&gt;Trainingsdaten!$H$3,"",MOD(ROW()-4,Trainingsdaten!$H$4)+1)</f>
        <v/>
      </c>
      <c r="D240" s="9" t="str">
        <f>IF($B240&gt;Trainingsdaten!$H$3,"",INDEX(Trainingsdaten!B:B,$C240+1))</f>
        <v/>
      </c>
      <c r="E240" s="7" t="str">
        <f>IF($B240&gt;Trainingsdaten!$H$3,"",INDEX(Trainingsdaten!C:C,$C240+1))</f>
        <v/>
      </c>
      <c r="F240" s="7" t="str">
        <f>IF($B240&gt;Trainingsdaten!$H$3,"",INDEX(Trainingsdaten!D:D,$C240+1))</f>
        <v/>
      </c>
      <c r="G240" s="7" t="str">
        <f>IF($B240&gt;Trainingsdaten!$H$3,"",INDEX(Trainingsdaten!E:E,$C240+1))</f>
        <v/>
      </c>
      <c r="H240" s="11" t="str">
        <f>IF($B240&gt;Trainingsdaten!$H$3,"",Trainingsdaten!$H$2)</f>
        <v/>
      </c>
      <c r="I240" s="7" t="str">
        <f>IF(B240&gt;Trainingsdaten!$H$3,"",I239+H240*N239*E240)</f>
        <v/>
      </c>
      <c r="J240" s="7" t="str">
        <f>IF(B240&gt;Trainingsdaten!$H$3,"",J239+H240*N239*F240)</f>
        <v/>
      </c>
      <c r="K240" s="7" t="str">
        <f>IF(B240&gt;Trainingsdaten!$H$3,"",K239+H240*N239)</f>
        <v/>
      </c>
      <c r="L240" s="7" t="str">
        <f>IF(B240&gt;Trainingsdaten!$H$3,"",E240*I240+F240*J240+K240)</f>
        <v/>
      </c>
      <c r="M240" s="7" t="str">
        <f>IF(B240&gt;Trainingsdaten!$H$3,"",IF(L240&gt;0,1,0))</f>
        <v/>
      </c>
      <c r="N240" s="7" t="str">
        <f>IF(B240&gt;Trainingsdaten!$H$3,"",G240-M240)</f>
        <v/>
      </c>
    </row>
    <row r="241" spans="1:14" x14ac:dyDescent="0.25">
      <c r="A241" s="9" t="str">
        <f>IF($B241&gt;Trainingsdaten!$H$3,"",MOD(ROW()-4,Trainingsdaten!$H$4)+1)</f>
        <v/>
      </c>
      <c r="B241" s="11" t="str">
        <f>IF(INT((ROW()-4)/Trainingsdaten!$H$4)+1&gt;Trainingsdaten!$H$3,"",INT((ROW()-4)/Trainingsdaten!$H$4)+1)</f>
        <v/>
      </c>
      <c r="C241" s="9" t="str">
        <f>IF(INT((ROW()-4)/Trainingsdaten!$H$4)+1&gt;Trainingsdaten!$H$3,"",MOD(ROW()-4,Trainingsdaten!$H$4)+1)</f>
        <v/>
      </c>
      <c r="D241" s="9" t="str">
        <f>IF($B241&gt;Trainingsdaten!$H$3,"",INDEX(Trainingsdaten!B:B,$C241+1))</f>
        <v/>
      </c>
      <c r="E241" s="7" t="str">
        <f>IF($B241&gt;Trainingsdaten!$H$3,"",INDEX(Trainingsdaten!C:C,$C241+1))</f>
        <v/>
      </c>
      <c r="F241" s="7" t="str">
        <f>IF($B241&gt;Trainingsdaten!$H$3,"",INDEX(Trainingsdaten!D:D,$C241+1))</f>
        <v/>
      </c>
      <c r="G241" s="7" t="str">
        <f>IF($B241&gt;Trainingsdaten!$H$3,"",INDEX(Trainingsdaten!E:E,$C241+1))</f>
        <v/>
      </c>
      <c r="H241" s="11" t="str">
        <f>IF($B241&gt;Trainingsdaten!$H$3,"",Trainingsdaten!$H$2)</f>
        <v/>
      </c>
      <c r="I241" s="7" t="str">
        <f>IF(B241&gt;Trainingsdaten!$H$3,"",I240+H241*N240*E241)</f>
        <v/>
      </c>
      <c r="J241" s="7" t="str">
        <f>IF(B241&gt;Trainingsdaten!$H$3,"",J240+H241*N240*F241)</f>
        <v/>
      </c>
      <c r="K241" s="7" t="str">
        <f>IF(B241&gt;Trainingsdaten!$H$3,"",K240+H241*N240)</f>
        <v/>
      </c>
      <c r="L241" s="7" t="str">
        <f>IF(B241&gt;Trainingsdaten!$H$3,"",E241*I241+F241*J241+K241)</f>
        <v/>
      </c>
      <c r="M241" s="7" t="str">
        <f>IF(B241&gt;Trainingsdaten!$H$3,"",IF(L241&gt;0,1,0))</f>
        <v/>
      </c>
      <c r="N241" s="7" t="str">
        <f>IF(B241&gt;Trainingsdaten!$H$3,"",G241-M241)</f>
        <v/>
      </c>
    </row>
    <row r="242" spans="1:14" x14ac:dyDescent="0.25">
      <c r="A242" s="9" t="str">
        <f>IF($B242&gt;Trainingsdaten!$H$3,"",MOD(ROW()-4,Trainingsdaten!$H$4)+1)</f>
        <v/>
      </c>
      <c r="B242" s="11" t="str">
        <f>IF(INT((ROW()-4)/Trainingsdaten!$H$4)+1&gt;Trainingsdaten!$H$3,"",INT((ROW()-4)/Trainingsdaten!$H$4)+1)</f>
        <v/>
      </c>
      <c r="C242" s="9" t="str">
        <f>IF(INT((ROW()-4)/Trainingsdaten!$H$4)+1&gt;Trainingsdaten!$H$3,"",MOD(ROW()-4,Trainingsdaten!$H$4)+1)</f>
        <v/>
      </c>
      <c r="D242" s="9" t="str">
        <f>IF($B242&gt;Trainingsdaten!$H$3,"",INDEX(Trainingsdaten!B:B,$C242+1))</f>
        <v/>
      </c>
      <c r="E242" s="7" t="str">
        <f>IF($B242&gt;Trainingsdaten!$H$3,"",INDEX(Trainingsdaten!C:C,$C242+1))</f>
        <v/>
      </c>
      <c r="F242" s="7" t="str">
        <f>IF($B242&gt;Trainingsdaten!$H$3,"",INDEX(Trainingsdaten!D:D,$C242+1))</f>
        <v/>
      </c>
      <c r="G242" s="7" t="str">
        <f>IF($B242&gt;Trainingsdaten!$H$3,"",INDEX(Trainingsdaten!E:E,$C242+1))</f>
        <v/>
      </c>
      <c r="H242" s="11" t="str">
        <f>IF($B242&gt;Trainingsdaten!$H$3,"",Trainingsdaten!$H$2)</f>
        <v/>
      </c>
      <c r="I242" s="7" t="str">
        <f>IF(B242&gt;Trainingsdaten!$H$3,"",I241+H242*N241*E242)</f>
        <v/>
      </c>
      <c r="J242" s="7" t="str">
        <f>IF(B242&gt;Trainingsdaten!$H$3,"",J241+H242*N241*F242)</f>
        <v/>
      </c>
      <c r="K242" s="7" t="str">
        <f>IF(B242&gt;Trainingsdaten!$H$3,"",K241+H242*N241)</f>
        <v/>
      </c>
      <c r="L242" s="7" t="str">
        <f>IF(B242&gt;Trainingsdaten!$H$3,"",E242*I242+F242*J242+K242)</f>
        <v/>
      </c>
      <c r="M242" s="7" t="str">
        <f>IF(B242&gt;Trainingsdaten!$H$3,"",IF(L242&gt;0,1,0))</f>
        <v/>
      </c>
      <c r="N242" s="7" t="str">
        <f>IF(B242&gt;Trainingsdaten!$H$3,"",G242-M242)</f>
        <v/>
      </c>
    </row>
    <row r="243" spans="1:14" x14ac:dyDescent="0.25">
      <c r="A243" s="9" t="str">
        <f>IF($B243&gt;Trainingsdaten!$H$3,"",MOD(ROW()-4,Trainingsdaten!$H$4)+1)</f>
        <v/>
      </c>
      <c r="B243" s="11" t="str">
        <f>IF(INT((ROW()-4)/Trainingsdaten!$H$4)+1&gt;Trainingsdaten!$H$3,"",INT((ROW()-4)/Trainingsdaten!$H$4)+1)</f>
        <v/>
      </c>
      <c r="C243" s="9" t="str">
        <f>IF(INT((ROW()-4)/Trainingsdaten!$H$4)+1&gt;Trainingsdaten!$H$3,"",MOD(ROW()-4,Trainingsdaten!$H$4)+1)</f>
        <v/>
      </c>
      <c r="D243" s="9" t="str">
        <f>IF($B243&gt;Trainingsdaten!$H$3,"",INDEX(Trainingsdaten!B:B,$C243+1))</f>
        <v/>
      </c>
      <c r="E243" s="7" t="str">
        <f>IF($B243&gt;Trainingsdaten!$H$3,"",INDEX(Trainingsdaten!C:C,$C243+1))</f>
        <v/>
      </c>
      <c r="F243" s="7" t="str">
        <f>IF($B243&gt;Trainingsdaten!$H$3,"",INDEX(Trainingsdaten!D:D,$C243+1))</f>
        <v/>
      </c>
      <c r="G243" s="7" t="str">
        <f>IF($B243&gt;Trainingsdaten!$H$3,"",INDEX(Trainingsdaten!E:E,$C243+1))</f>
        <v/>
      </c>
      <c r="H243" s="11" t="str">
        <f>IF($B243&gt;Trainingsdaten!$H$3,"",Trainingsdaten!$H$2)</f>
        <v/>
      </c>
      <c r="I243" s="7" t="str">
        <f>IF(B243&gt;Trainingsdaten!$H$3,"",I242+H243*N242*E243)</f>
        <v/>
      </c>
      <c r="J243" s="7" t="str">
        <f>IF(B243&gt;Trainingsdaten!$H$3,"",J242+H243*N242*F243)</f>
        <v/>
      </c>
      <c r="K243" s="7" t="str">
        <f>IF(B243&gt;Trainingsdaten!$H$3,"",K242+H243*N242)</f>
        <v/>
      </c>
      <c r="L243" s="7" t="str">
        <f>IF(B243&gt;Trainingsdaten!$H$3,"",E243*I243+F243*J243+K243)</f>
        <v/>
      </c>
      <c r="M243" s="7" t="str">
        <f>IF(B243&gt;Trainingsdaten!$H$3,"",IF(L243&gt;0,1,0))</f>
        <v/>
      </c>
      <c r="N243" s="7" t="str">
        <f>IF(B243&gt;Trainingsdaten!$H$3,"",G243-M243)</f>
        <v/>
      </c>
    </row>
    <row r="244" spans="1:14" x14ac:dyDescent="0.25">
      <c r="A244" s="9" t="str">
        <f>IF($B244&gt;Trainingsdaten!$H$3,"",MOD(ROW()-4,Trainingsdaten!$H$4)+1)</f>
        <v/>
      </c>
      <c r="B244" s="11" t="str">
        <f>IF(INT((ROW()-4)/Trainingsdaten!$H$4)+1&gt;Trainingsdaten!$H$3,"",INT((ROW()-4)/Trainingsdaten!$H$4)+1)</f>
        <v/>
      </c>
      <c r="C244" s="9" t="str">
        <f>IF(INT((ROW()-4)/Trainingsdaten!$H$4)+1&gt;Trainingsdaten!$H$3,"",MOD(ROW()-4,Trainingsdaten!$H$4)+1)</f>
        <v/>
      </c>
      <c r="D244" s="9" t="str">
        <f>IF($B244&gt;Trainingsdaten!$H$3,"",INDEX(Trainingsdaten!B:B,$C244+1))</f>
        <v/>
      </c>
      <c r="E244" s="7" t="str">
        <f>IF($B244&gt;Trainingsdaten!$H$3,"",INDEX(Trainingsdaten!C:C,$C244+1))</f>
        <v/>
      </c>
      <c r="F244" s="7" t="str">
        <f>IF($B244&gt;Trainingsdaten!$H$3,"",INDEX(Trainingsdaten!D:D,$C244+1))</f>
        <v/>
      </c>
      <c r="G244" s="7" t="str">
        <f>IF($B244&gt;Trainingsdaten!$H$3,"",INDEX(Trainingsdaten!E:E,$C244+1))</f>
        <v/>
      </c>
      <c r="H244" s="11" t="str">
        <f>IF($B244&gt;Trainingsdaten!$H$3,"",Trainingsdaten!$H$2)</f>
        <v/>
      </c>
      <c r="I244" s="7" t="str">
        <f>IF(B244&gt;Trainingsdaten!$H$3,"",I243+H244*N243*E244)</f>
        <v/>
      </c>
      <c r="J244" s="7" t="str">
        <f>IF(B244&gt;Trainingsdaten!$H$3,"",J243+H244*N243*F244)</f>
        <v/>
      </c>
      <c r="K244" s="7" t="str">
        <f>IF(B244&gt;Trainingsdaten!$H$3,"",K243+H244*N243)</f>
        <v/>
      </c>
      <c r="L244" s="7" t="str">
        <f>IF(B244&gt;Trainingsdaten!$H$3,"",E244*I244+F244*J244+K244)</f>
        <v/>
      </c>
      <c r="M244" s="7" t="str">
        <f>IF(B244&gt;Trainingsdaten!$H$3,"",IF(L244&gt;0,1,0))</f>
        <v/>
      </c>
      <c r="N244" s="7" t="str">
        <f>IF(B244&gt;Trainingsdaten!$H$3,"",G244-M244)</f>
        <v/>
      </c>
    </row>
    <row r="245" spans="1:14" x14ac:dyDescent="0.25">
      <c r="A245" s="9" t="str">
        <f>IF($B245&gt;Trainingsdaten!$H$3,"",MOD(ROW()-4,Trainingsdaten!$H$4)+1)</f>
        <v/>
      </c>
      <c r="B245" s="11" t="str">
        <f>IF(INT((ROW()-4)/Trainingsdaten!$H$4)+1&gt;Trainingsdaten!$H$3,"",INT((ROW()-4)/Trainingsdaten!$H$4)+1)</f>
        <v/>
      </c>
      <c r="C245" s="9" t="str">
        <f>IF(INT((ROW()-4)/Trainingsdaten!$H$4)+1&gt;Trainingsdaten!$H$3,"",MOD(ROW()-4,Trainingsdaten!$H$4)+1)</f>
        <v/>
      </c>
      <c r="D245" s="9" t="str">
        <f>IF($B245&gt;Trainingsdaten!$H$3,"",INDEX(Trainingsdaten!B:B,$C245+1))</f>
        <v/>
      </c>
      <c r="E245" s="7" t="str">
        <f>IF($B245&gt;Trainingsdaten!$H$3,"",INDEX(Trainingsdaten!C:C,$C245+1))</f>
        <v/>
      </c>
      <c r="F245" s="7" t="str">
        <f>IF($B245&gt;Trainingsdaten!$H$3,"",INDEX(Trainingsdaten!D:D,$C245+1))</f>
        <v/>
      </c>
      <c r="G245" s="7" t="str">
        <f>IF($B245&gt;Trainingsdaten!$H$3,"",INDEX(Trainingsdaten!E:E,$C245+1))</f>
        <v/>
      </c>
      <c r="H245" s="11" t="str">
        <f>IF($B245&gt;Trainingsdaten!$H$3,"",Trainingsdaten!$H$2)</f>
        <v/>
      </c>
      <c r="I245" s="7" t="str">
        <f>IF(B245&gt;Trainingsdaten!$H$3,"",I244+H245*N244*E245)</f>
        <v/>
      </c>
      <c r="J245" s="7" t="str">
        <f>IF(B245&gt;Trainingsdaten!$H$3,"",J244+H245*N244*F245)</f>
        <v/>
      </c>
      <c r="K245" s="7" t="str">
        <f>IF(B245&gt;Trainingsdaten!$H$3,"",K244+H245*N244)</f>
        <v/>
      </c>
      <c r="L245" s="7" t="str">
        <f>IF(B245&gt;Trainingsdaten!$H$3,"",E245*I245+F245*J245+K245)</f>
        <v/>
      </c>
      <c r="M245" s="7" t="str">
        <f>IF(B245&gt;Trainingsdaten!$H$3,"",IF(L245&gt;0,1,0))</f>
        <v/>
      </c>
      <c r="N245" s="7" t="str">
        <f>IF(B245&gt;Trainingsdaten!$H$3,"",G245-M245)</f>
        <v/>
      </c>
    </row>
    <row r="246" spans="1:14" x14ac:dyDescent="0.25">
      <c r="A246" s="9" t="str">
        <f>IF($B246&gt;Trainingsdaten!$H$3,"",MOD(ROW()-4,Trainingsdaten!$H$4)+1)</f>
        <v/>
      </c>
      <c r="B246" s="11" t="str">
        <f>IF(INT((ROW()-4)/Trainingsdaten!$H$4)+1&gt;Trainingsdaten!$H$3,"",INT((ROW()-4)/Trainingsdaten!$H$4)+1)</f>
        <v/>
      </c>
      <c r="C246" s="9" t="str">
        <f>IF(INT((ROW()-4)/Trainingsdaten!$H$4)+1&gt;Trainingsdaten!$H$3,"",MOD(ROW()-4,Trainingsdaten!$H$4)+1)</f>
        <v/>
      </c>
      <c r="D246" s="9" t="str">
        <f>IF($B246&gt;Trainingsdaten!$H$3,"",INDEX(Trainingsdaten!B:B,$C246+1))</f>
        <v/>
      </c>
      <c r="E246" s="7" t="str">
        <f>IF($B246&gt;Trainingsdaten!$H$3,"",INDEX(Trainingsdaten!C:C,$C246+1))</f>
        <v/>
      </c>
      <c r="F246" s="7" t="str">
        <f>IF($B246&gt;Trainingsdaten!$H$3,"",INDEX(Trainingsdaten!D:D,$C246+1))</f>
        <v/>
      </c>
      <c r="G246" s="7" t="str">
        <f>IF($B246&gt;Trainingsdaten!$H$3,"",INDEX(Trainingsdaten!E:E,$C246+1))</f>
        <v/>
      </c>
      <c r="H246" s="11" t="str">
        <f>IF($B246&gt;Trainingsdaten!$H$3,"",Trainingsdaten!$H$2)</f>
        <v/>
      </c>
      <c r="I246" s="7" t="str">
        <f>IF(B246&gt;Trainingsdaten!$H$3,"",I245+H246*N245*E246)</f>
        <v/>
      </c>
      <c r="J246" s="7" t="str">
        <f>IF(B246&gt;Trainingsdaten!$H$3,"",J245+H246*N245*F246)</f>
        <v/>
      </c>
      <c r="K246" s="7" t="str">
        <f>IF(B246&gt;Trainingsdaten!$H$3,"",K245+H246*N245)</f>
        <v/>
      </c>
      <c r="L246" s="7" t="str">
        <f>IF(B246&gt;Trainingsdaten!$H$3,"",E246*I246+F246*J246+K246)</f>
        <v/>
      </c>
      <c r="M246" s="7" t="str">
        <f>IF(B246&gt;Trainingsdaten!$H$3,"",IF(L246&gt;0,1,0))</f>
        <v/>
      </c>
      <c r="N246" s="7" t="str">
        <f>IF(B246&gt;Trainingsdaten!$H$3,"",G246-M246)</f>
        <v/>
      </c>
    </row>
    <row r="247" spans="1:14" x14ac:dyDescent="0.25">
      <c r="A247" s="9" t="str">
        <f>IF($B247&gt;Trainingsdaten!$H$3,"",MOD(ROW()-4,Trainingsdaten!$H$4)+1)</f>
        <v/>
      </c>
      <c r="B247" s="11" t="str">
        <f>IF(INT((ROW()-4)/Trainingsdaten!$H$4)+1&gt;Trainingsdaten!$H$3,"",INT((ROW()-4)/Trainingsdaten!$H$4)+1)</f>
        <v/>
      </c>
      <c r="C247" s="9" t="str">
        <f>IF(INT((ROW()-4)/Trainingsdaten!$H$4)+1&gt;Trainingsdaten!$H$3,"",MOD(ROW()-4,Trainingsdaten!$H$4)+1)</f>
        <v/>
      </c>
      <c r="D247" s="9" t="str">
        <f>IF($B247&gt;Trainingsdaten!$H$3,"",INDEX(Trainingsdaten!B:B,$C247+1))</f>
        <v/>
      </c>
      <c r="E247" s="7" t="str">
        <f>IF($B247&gt;Trainingsdaten!$H$3,"",INDEX(Trainingsdaten!C:C,$C247+1))</f>
        <v/>
      </c>
      <c r="F247" s="7" t="str">
        <f>IF($B247&gt;Trainingsdaten!$H$3,"",INDEX(Trainingsdaten!D:D,$C247+1))</f>
        <v/>
      </c>
      <c r="G247" s="7" t="str">
        <f>IF($B247&gt;Trainingsdaten!$H$3,"",INDEX(Trainingsdaten!E:E,$C247+1))</f>
        <v/>
      </c>
      <c r="H247" s="11" t="str">
        <f>IF($B247&gt;Trainingsdaten!$H$3,"",Trainingsdaten!$H$2)</f>
        <v/>
      </c>
      <c r="I247" s="7" t="str">
        <f>IF(B247&gt;Trainingsdaten!$H$3,"",I246+H247*N246*E247)</f>
        <v/>
      </c>
      <c r="J247" s="7" t="str">
        <f>IF(B247&gt;Trainingsdaten!$H$3,"",J246+H247*N246*F247)</f>
        <v/>
      </c>
      <c r="K247" s="7" t="str">
        <f>IF(B247&gt;Trainingsdaten!$H$3,"",K246+H247*N246)</f>
        <v/>
      </c>
      <c r="L247" s="7" t="str">
        <f>IF(B247&gt;Trainingsdaten!$H$3,"",E247*I247+F247*J247+K247)</f>
        <v/>
      </c>
      <c r="M247" s="7" t="str">
        <f>IF(B247&gt;Trainingsdaten!$H$3,"",IF(L247&gt;0,1,0))</f>
        <v/>
      </c>
      <c r="N247" s="7" t="str">
        <f>IF(B247&gt;Trainingsdaten!$H$3,"",G247-M247)</f>
        <v/>
      </c>
    </row>
    <row r="248" spans="1:14" x14ac:dyDescent="0.25">
      <c r="A248" s="9" t="str">
        <f>IF($B248&gt;Trainingsdaten!$H$3,"",MOD(ROW()-4,Trainingsdaten!$H$4)+1)</f>
        <v/>
      </c>
      <c r="B248" s="11" t="str">
        <f>IF(INT((ROW()-4)/Trainingsdaten!$H$4)+1&gt;Trainingsdaten!$H$3,"",INT((ROW()-4)/Trainingsdaten!$H$4)+1)</f>
        <v/>
      </c>
      <c r="C248" s="9" t="str">
        <f>IF(INT((ROW()-4)/Trainingsdaten!$H$4)+1&gt;Trainingsdaten!$H$3,"",MOD(ROW()-4,Trainingsdaten!$H$4)+1)</f>
        <v/>
      </c>
      <c r="D248" s="9" t="str">
        <f>IF($B248&gt;Trainingsdaten!$H$3,"",INDEX(Trainingsdaten!B:B,$C248+1))</f>
        <v/>
      </c>
      <c r="E248" s="7" t="str">
        <f>IF($B248&gt;Trainingsdaten!$H$3,"",INDEX(Trainingsdaten!C:C,$C248+1))</f>
        <v/>
      </c>
      <c r="F248" s="7" t="str">
        <f>IF($B248&gt;Trainingsdaten!$H$3,"",INDEX(Trainingsdaten!D:D,$C248+1))</f>
        <v/>
      </c>
      <c r="G248" s="7" t="str">
        <f>IF($B248&gt;Trainingsdaten!$H$3,"",INDEX(Trainingsdaten!E:E,$C248+1))</f>
        <v/>
      </c>
      <c r="H248" s="11" t="str">
        <f>IF($B248&gt;Trainingsdaten!$H$3,"",Trainingsdaten!$H$2)</f>
        <v/>
      </c>
      <c r="I248" s="7" t="str">
        <f>IF(B248&gt;Trainingsdaten!$H$3,"",I247+H248*N247*E248)</f>
        <v/>
      </c>
      <c r="J248" s="7" t="str">
        <f>IF(B248&gt;Trainingsdaten!$H$3,"",J247+H248*N247*F248)</f>
        <v/>
      </c>
      <c r="K248" s="7" t="str">
        <f>IF(B248&gt;Trainingsdaten!$H$3,"",K247+H248*N247)</f>
        <v/>
      </c>
      <c r="L248" s="7" t="str">
        <f>IF(B248&gt;Trainingsdaten!$H$3,"",E248*I248+F248*J248+K248)</f>
        <v/>
      </c>
      <c r="M248" s="7" t="str">
        <f>IF(B248&gt;Trainingsdaten!$H$3,"",IF(L248&gt;0,1,0))</f>
        <v/>
      </c>
      <c r="N248" s="7" t="str">
        <f>IF(B248&gt;Trainingsdaten!$H$3,"",G248-M248)</f>
        <v/>
      </c>
    </row>
    <row r="249" spans="1:14" x14ac:dyDescent="0.25">
      <c r="A249" s="9" t="str">
        <f>IF($B249&gt;Trainingsdaten!$H$3,"",MOD(ROW()-4,Trainingsdaten!$H$4)+1)</f>
        <v/>
      </c>
      <c r="B249" s="11" t="str">
        <f>IF(INT((ROW()-4)/Trainingsdaten!$H$4)+1&gt;Trainingsdaten!$H$3,"",INT((ROW()-4)/Trainingsdaten!$H$4)+1)</f>
        <v/>
      </c>
      <c r="C249" s="9" t="str">
        <f>IF(INT((ROW()-4)/Trainingsdaten!$H$4)+1&gt;Trainingsdaten!$H$3,"",MOD(ROW()-4,Trainingsdaten!$H$4)+1)</f>
        <v/>
      </c>
      <c r="D249" s="9" t="str">
        <f>IF($B249&gt;Trainingsdaten!$H$3,"",INDEX(Trainingsdaten!B:B,$C249+1))</f>
        <v/>
      </c>
      <c r="E249" s="7" t="str">
        <f>IF($B249&gt;Trainingsdaten!$H$3,"",INDEX(Trainingsdaten!C:C,$C249+1))</f>
        <v/>
      </c>
      <c r="F249" s="7" t="str">
        <f>IF($B249&gt;Trainingsdaten!$H$3,"",INDEX(Trainingsdaten!D:D,$C249+1))</f>
        <v/>
      </c>
      <c r="G249" s="7" t="str">
        <f>IF($B249&gt;Trainingsdaten!$H$3,"",INDEX(Trainingsdaten!E:E,$C249+1))</f>
        <v/>
      </c>
      <c r="H249" s="11" t="str">
        <f>IF($B249&gt;Trainingsdaten!$H$3,"",Trainingsdaten!$H$2)</f>
        <v/>
      </c>
      <c r="I249" s="7" t="str">
        <f>IF(B249&gt;Trainingsdaten!$H$3,"",I248+H249*N248*E249)</f>
        <v/>
      </c>
      <c r="J249" s="7" t="str">
        <f>IF(B249&gt;Trainingsdaten!$H$3,"",J248+H249*N248*F249)</f>
        <v/>
      </c>
      <c r="K249" s="7" t="str">
        <f>IF(B249&gt;Trainingsdaten!$H$3,"",K248+H249*N248)</f>
        <v/>
      </c>
      <c r="L249" s="7" t="str">
        <f>IF(B249&gt;Trainingsdaten!$H$3,"",E249*I249+F249*J249+K249)</f>
        <v/>
      </c>
      <c r="M249" s="7" t="str">
        <f>IF(B249&gt;Trainingsdaten!$H$3,"",IF(L249&gt;0,1,0))</f>
        <v/>
      </c>
      <c r="N249" s="7" t="str">
        <f>IF(B249&gt;Trainingsdaten!$H$3,"",G249-M249)</f>
        <v/>
      </c>
    </row>
    <row r="250" spans="1:14" x14ac:dyDescent="0.25">
      <c r="A250" s="9" t="str">
        <f>IF($B250&gt;Trainingsdaten!$H$3,"",MOD(ROW()-4,Trainingsdaten!$H$4)+1)</f>
        <v/>
      </c>
      <c r="B250" s="11" t="str">
        <f>IF(INT((ROW()-4)/Trainingsdaten!$H$4)+1&gt;Trainingsdaten!$H$3,"",INT((ROW()-4)/Trainingsdaten!$H$4)+1)</f>
        <v/>
      </c>
      <c r="C250" s="9" t="str">
        <f>IF(INT((ROW()-4)/Trainingsdaten!$H$4)+1&gt;Trainingsdaten!$H$3,"",MOD(ROW()-4,Trainingsdaten!$H$4)+1)</f>
        <v/>
      </c>
      <c r="D250" s="9" t="str">
        <f>IF($B250&gt;Trainingsdaten!$H$3,"",INDEX(Trainingsdaten!B:B,$C250+1))</f>
        <v/>
      </c>
      <c r="E250" s="7" t="str">
        <f>IF($B250&gt;Trainingsdaten!$H$3,"",INDEX(Trainingsdaten!C:C,$C250+1))</f>
        <v/>
      </c>
      <c r="F250" s="7" t="str">
        <f>IF($B250&gt;Trainingsdaten!$H$3,"",INDEX(Trainingsdaten!D:D,$C250+1))</f>
        <v/>
      </c>
      <c r="G250" s="7" t="str">
        <f>IF($B250&gt;Trainingsdaten!$H$3,"",INDEX(Trainingsdaten!E:E,$C250+1))</f>
        <v/>
      </c>
      <c r="H250" s="11" t="str">
        <f>IF($B250&gt;Trainingsdaten!$H$3,"",Trainingsdaten!$H$2)</f>
        <v/>
      </c>
      <c r="I250" s="7" t="str">
        <f>IF(B250&gt;Trainingsdaten!$H$3,"",I249+H250*N249*E250)</f>
        <v/>
      </c>
      <c r="J250" s="7" t="str">
        <f>IF(B250&gt;Trainingsdaten!$H$3,"",J249+H250*N249*F250)</f>
        <v/>
      </c>
      <c r="K250" s="7" t="str">
        <f>IF(B250&gt;Trainingsdaten!$H$3,"",K249+H250*N249)</f>
        <v/>
      </c>
      <c r="L250" s="7" t="str">
        <f>IF(B250&gt;Trainingsdaten!$H$3,"",E250*I250+F250*J250+K250)</f>
        <v/>
      </c>
      <c r="M250" s="7" t="str">
        <f>IF(B250&gt;Trainingsdaten!$H$3,"",IF(L250&gt;0,1,0))</f>
        <v/>
      </c>
      <c r="N250" s="7" t="str">
        <f>IF(B250&gt;Trainingsdaten!$H$3,"",G250-M250)</f>
        <v/>
      </c>
    </row>
    <row r="251" spans="1:14" x14ac:dyDescent="0.25">
      <c r="A251" s="9" t="str">
        <f>IF($B251&gt;Trainingsdaten!$H$3,"",MOD(ROW()-4,Trainingsdaten!$H$4)+1)</f>
        <v/>
      </c>
      <c r="B251" s="11" t="str">
        <f>IF(INT((ROW()-4)/Trainingsdaten!$H$4)+1&gt;Trainingsdaten!$H$3,"",INT((ROW()-4)/Trainingsdaten!$H$4)+1)</f>
        <v/>
      </c>
      <c r="C251" s="9" t="str">
        <f>IF(INT((ROW()-4)/Trainingsdaten!$H$4)+1&gt;Trainingsdaten!$H$3,"",MOD(ROW()-4,Trainingsdaten!$H$4)+1)</f>
        <v/>
      </c>
      <c r="D251" s="9" t="str">
        <f>IF($B251&gt;Trainingsdaten!$H$3,"",INDEX(Trainingsdaten!B:B,$C251+1))</f>
        <v/>
      </c>
      <c r="E251" s="7" t="str">
        <f>IF($B251&gt;Trainingsdaten!$H$3,"",INDEX(Trainingsdaten!C:C,$C251+1))</f>
        <v/>
      </c>
      <c r="F251" s="7" t="str">
        <f>IF($B251&gt;Trainingsdaten!$H$3,"",INDEX(Trainingsdaten!D:D,$C251+1))</f>
        <v/>
      </c>
      <c r="G251" s="7" t="str">
        <f>IF($B251&gt;Trainingsdaten!$H$3,"",INDEX(Trainingsdaten!E:E,$C251+1))</f>
        <v/>
      </c>
      <c r="H251" s="11" t="str">
        <f>IF($B251&gt;Trainingsdaten!$H$3,"",Trainingsdaten!$H$2)</f>
        <v/>
      </c>
      <c r="I251" s="7" t="str">
        <f>IF(B251&gt;Trainingsdaten!$H$3,"",I250+H251*N250*E251)</f>
        <v/>
      </c>
      <c r="J251" s="7" t="str">
        <f>IF(B251&gt;Trainingsdaten!$H$3,"",J250+H251*N250*F251)</f>
        <v/>
      </c>
      <c r="K251" s="7" t="str">
        <f>IF(B251&gt;Trainingsdaten!$H$3,"",K250+H251*N250)</f>
        <v/>
      </c>
      <c r="L251" s="7" t="str">
        <f>IF(B251&gt;Trainingsdaten!$H$3,"",E251*I251+F251*J251+K251)</f>
        <v/>
      </c>
      <c r="M251" s="7" t="str">
        <f>IF(B251&gt;Trainingsdaten!$H$3,"",IF(L251&gt;0,1,0))</f>
        <v/>
      </c>
      <c r="N251" s="7" t="str">
        <f>IF(B251&gt;Trainingsdaten!$H$3,"",G251-M251)</f>
        <v/>
      </c>
    </row>
    <row r="252" spans="1:14" x14ac:dyDescent="0.25">
      <c r="A252" s="9" t="str">
        <f>IF($B252&gt;Trainingsdaten!$H$3,"",MOD(ROW()-4,Trainingsdaten!$H$4)+1)</f>
        <v/>
      </c>
      <c r="B252" s="11" t="str">
        <f>IF(INT((ROW()-4)/Trainingsdaten!$H$4)+1&gt;Trainingsdaten!$H$3,"",INT((ROW()-4)/Trainingsdaten!$H$4)+1)</f>
        <v/>
      </c>
      <c r="C252" s="9" t="str">
        <f>IF(INT((ROW()-4)/Trainingsdaten!$H$4)+1&gt;Trainingsdaten!$H$3,"",MOD(ROW()-4,Trainingsdaten!$H$4)+1)</f>
        <v/>
      </c>
      <c r="D252" s="9" t="str">
        <f>IF($B252&gt;Trainingsdaten!$H$3,"",INDEX(Trainingsdaten!B:B,$C252+1))</f>
        <v/>
      </c>
      <c r="E252" s="7" t="str">
        <f>IF($B252&gt;Trainingsdaten!$H$3,"",INDEX(Trainingsdaten!C:C,$C252+1))</f>
        <v/>
      </c>
      <c r="F252" s="7" t="str">
        <f>IF($B252&gt;Trainingsdaten!$H$3,"",INDEX(Trainingsdaten!D:D,$C252+1))</f>
        <v/>
      </c>
      <c r="G252" s="7" t="str">
        <f>IF($B252&gt;Trainingsdaten!$H$3,"",INDEX(Trainingsdaten!E:E,$C252+1))</f>
        <v/>
      </c>
      <c r="H252" s="11" t="str">
        <f>IF($B252&gt;Trainingsdaten!$H$3,"",Trainingsdaten!$H$2)</f>
        <v/>
      </c>
      <c r="I252" s="7" t="str">
        <f>IF(B252&gt;Trainingsdaten!$H$3,"",I251+H252*N251*E252)</f>
        <v/>
      </c>
      <c r="J252" s="7" t="str">
        <f>IF(B252&gt;Trainingsdaten!$H$3,"",J251+H252*N251*F252)</f>
        <v/>
      </c>
      <c r="K252" s="7" t="str">
        <f>IF(B252&gt;Trainingsdaten!$H$3,"",K251+H252*N251)</f>
        <v/>
      </c>
      <c r="L252" s="7" t="str">
        <f>IF(B252&gt;Trainingsdaten!$H$3,"",E252*I252+F252*J252+K252)</f>
        <v/>
      </c>
      <c r="M252" s="7" t="str">
        <f>IF(B252&gt;Trainingsdaten!$H$3,"",IF(L252&gt;0,1,0))</f>
        <v/>
      </c>
      <c r="N252" s="7" t="str">
        <f>IF(B252&gt;Trainingsdaten!$H$3,"",G252-M252)</f>
        <v/>
      </c>
    </row>
    <row r="253" spans="1:14" x14ac:dyDescent="0.25">
      <c r="A253" s="9" t="str">
        <f>IF($B253&gt;Trainingsdaten!$H$3,"",MOD(ROW()-4,Trainingsdaten!$H$4)+1)</f>
        <v/>
      </c>
      <c r="B253" s="11" t="str">
        <f>IF(INT((ROW()-4)/Trainingsdaten!$H$4)+1&gt;Trainingsdaten!$H$3,"",INT((ROW()-4)/Trainingsdaten!$H$4)+1)</f>
        <v/>
      </c>
      <c r="C253" s="9" t="str">
        <f>IF(INT((ROW()-4)/Trainingsdaten!$H$4)+1&gt;Trainingsdaten!$H$3,"",MOD(ROW()-4,Trainingsdaten!$H$4)+1)</f>
        <v/>
      </c>
      <c r="D253" s="9" t="str">
        <f>IF($B253&gt;Trainingsdaten!$H$3,"",INDEX(Trainingsdaten!B:B,$C253+1))</f>
        <v/>
      </c>
      <c r="E253" s="7" t="str">
        <f>IF($B253&gt;Trainingsdaten!$H$3,"",INDEX(Trainingsdaten!C:C,$C253+1))</f>
        <v/>
      </c>
      <c r="F253" s="7" t="str">
        <f>IF($B253&gt;Trainingsdaten!$H$3,"",INDEX(Trainingsdaten!D:D,$C253+1))</f>
        <v/>
      </c>
      <c r="G253" s="7" t="str">
        <f>IF($B253&gt;Trainingsdaten!$H$3,"",INDEX(Trainingsdaten!E:E,$C253+1))</f>
        <v/>
      </c>
      <c r="H253" s="11" t="str">
        <f>IF($B253&gt;Trainingsdaten!$H$3,"",Trainingsdaten!$H$2)</f>
        <v/>
      </c>
      <c r="I253" s="7" t="str">
        <f>IF(B253&gt;Trainingsdaten!$H$3,"",I252+H253*N252*E253)</f>
        <v/>
      </c>
      <c r="J253" s="7" t="str">
        <f>IF(B253&gt;Trainingsdaten!$H$3,"",J252+H253*N252*F253)</f>
        <v/>
      </c>
      <c r="K253" s="7" t="str">
        <f>IF(B253&gt;Trainingsdaten!$H$3,"",K252+H253*N252)</f>
        <v/>
      </c>
      <c r="L253" s="7" t="str">
        <f>IF(B253&gt;Trainingsdaten!$H$3,"",E253*I253+F253*J253+K253)</f>
        <v/>
      </c>
      <c r="M253" s="7" t="str">
        <f>IF(B253&gt;Trainingsdaten!$H$3,"",IF(L253&gt;0,1,0))</f>
        <v/>
      </c>
      <c r="N253" s="7" t="str">
        <f>IF(B253&gt;Trainingsdaten!$H$3,"",G253-M253)</f>
        <v/>
      </c>
    </row>
    <row r="254" spans="1:14" x14ac:dyDescent="0.25">
      <c r="A254" s="9" t="str">
        <f>IF($B254&gt;Trainingsdaten!$H$3,"",MOD(ROW()-4,Trainingsdaten!$H$4)+1)</f>
        <v/>
      </c>
      <c r="B254" s="11" t="str">
        <f>IF(INT((ROW()-4)/Trainingsdaten!$H$4)+1&gt;Trainingsdaten!$H$3,"",INT((ROW()-4)/Trainingsdaten!$H$4)+1)</f>
        <v/>
      </c>
      <c r="C254" s="9" t="str">
        <f>IF(INT((ROW()-4)/Trainingsdaten!$H$4)+1&gt;Trainingsdaten!$H$3,"",MOD(ROW()-4,Trainingsdaten!$H$4)+1)</f>
        <v/>
      </c>
      <c r="D254" s="9" t="str">
        <f>IF($B254&gt;Trainingsdaten!$H$3,"",INDEX(Trainingsdaten!B:B,$C254+1))</f>
        <v/>
      </c>
      <c r="E254" s="7" t="str">
        <f>IF($B254&gt;Trainingsdaten!$H$3,"",INDEX(Trainingsdaten!C:C,$C254+1))</f>
        <v/>
      </c>
      <c r="F254" s="7" t="str">
        <f>IF($B254&gt;Trainingsdaten!$H$3,"",INDEX(Trainingsdaten!D:D,$C254+1))</f>
        <v/>
      </c>
      <c r="G254" s="7" t="str">
        <f>IF($B254&gt;Trainingsdaten!$H$3,"",INDEX(Trainingsdaten!E:E,$C254+1))</f>
        <v/>
      </c>
      <c r="H254" s="11" t="str">
        <f>IF($B254&gt;Trainingsdaten!$H$3,"",Trainingsdaten!$H$2)</f>
        <v/>
      </c>
      <c r="I254" s="7" t="str">
        <f>IF(B254&gt;Trainingsdaten!$H$3,"",I253+H254*N253*E254)</f>
        <v/>
      </c>
      <c r="J254" s="7" t="str">
        <f>IF(B254&gt;Trainingsdaten!$H$3,"",J253+H254*N253*F254)</f>
        <v/>
      </c>
      <c r="K254" s="7" t="str">
        <f>IF(B254&gt;Trainingsdaten!$H$3,"",K253+H254*N253)</f>
        <v/>
      </c>
      <c r="L254" s="7" t="str">
        <f>IF(B254&gt;Trainingsdaten!$H$3,"",E254*I254+F254*J254+K254)</f>
        <v/>
      </c>
      <c r="M254" s="7" t="str">
        <f>IF(B254&gt;Trainingsdaten!$H$3,"",IF(L254&gt;0,1,0))</f>
        <v/>
      </c>
      <c r="N254" s="7" t="str">
        <f>IF(B254&gt;Trainingsdaten!$H$3,"",G254-M254)</f>
        <v/>
      </c>
    </row>
    <row r="255" spans="1:14" x14ac:dyDescent="0.25">
      <c r="A255" s="9" t="str">
        <f>IF($B255&gt;Trainingsdaten!$H$3,"",MOD(ROW()-4,Trainingsdaten!$H$4)+1)</f>
        <v/>
      </c>
      <c r="B255" s="11" t="str">
        <f>IF(INT((ROW()-4)/Trainingsdaten!$H$4)+1&gt;Trainingsdaten!$H$3,"",INT((ROW()-4)/Trainingsdaten!$H$4)+1)</f>
        <v/>
      </c>
      <c r="C255" s="9" t="str">
        <f>IF(INT((ROW()-4)/Trainingsdaten!$H$4)+1&gt;Trainingsdaten!$H$3,"",MOD(ROW()-4,Trainingsdaten!$H$4)+1)</f>
        <v/>
      </c>
      <c r="D255" s="9" t="str">
        <f>IF($B255&gt;Trainingsdaten!$H$3,"",INDEX(Trainingsdaten!B:B,$C255+1))</f>
        <v/>
      </c>
      <c r="E255" s="7" t="str">
        <f>IF($B255&gt;Trainingsdaten!$H$3,"",INDEX(Trainingsdaten!C:C,$C255+1))</f>
        <v/>
      </c>
      <c r="F255" s="7" t="str">
        <f>IF($B255&gt;Trainingsdaten!$H$3,"",INDEX(Trainingsdaten!D:D,$C255+1))</f>
        <v/>
      </c>
      <c r="G255" s="7" t="str">
        <f>IF($B255&gt;Trainingsdaten!$H$3,"",INDEX(Trainingsdaten!E:E,$C255+1))</f>
        <v/>
      </c>
      <c r="H255" s="11" t="str">
        <f>IF($B255&gt;Trainingsdaten!$H$3,"",Trainingsdaten!$H$2)</f>
        <v/>
      </c>
      <c r="I255" s="7" t="str">
        <f>IF(B255&gt;Trainingsdaten!$H$3,"",I254+H255*N254*E255)</f>
        <v/>
      </c>
      <c r="J255" s="7" t="str">
        <f>IF(B255&gt;Trainingsdaten!$H$3,"",J254+H255*N254*F255)</f>
        <v/>
      </c>
      <c r="K255" s="7" t="str">
        <f>IF(B255&gt;Trainingsdaten!$H$3,"",K254+H255*N254)</f>
        <v/>
      </c>
      <c r="L255" s="7" t="str">
        <f>IF(B255&gt;Trainingsdaten!$H$3,"",E255*I255+F255*J255+K255)</f>
        <v/>
      </c>
      <c r="M255" s="7" t="str">
        <f>IF(B255&gt;Trainingsdaten!$H$3,"",IF(L255&gt;0,1,0))</f>
        <v/>
      </c>
      <c r="N255" s="7" t="str">
        <f>IF(B255&gt;Trainingsdaten!$H$3,"",G255-M255)</f>
        <v/>
      </c>
    </row>
    <row r="256" spans="1:14" x14ac:dyDescent="0.25">
      <c r="A256" s="9" t="str">
        <f>IF($B256&gt;Trainingsdaten!$H$3,"",MOD(ROW()-4,Trainingsdaten!$H$4)+1)</f>
        <v/>
      </c>
      <c r="B256" s="11" t="str">
        <f>IF(INT((ROW()-4)/Trainingsdaten!$H$4)+1&gt;Trainingsdaten!$H$3,"",INT((ROW()-4)/Trainingsdaten!$H$4)+1)</f>
        <v/>
      </c>
      <c r="C256" s="9" t="str">
        <f>IF(INT((ROW()-4)/Trainingsdaten!$H$4)+1&gt;Trainingsdaten!$H$3,"",MOD(ROW()-4,Trainingsdaten!$H$4)+1)</f>
        <v/>
      </c>
      <c r="D256" s="9" t="str">
        <f>IF($B256&gt;Trainingsdaten!$H$3,"",INDEX(Trainingsdaten!B:B,$C256+1))</f>
        <v/>
      </c>
      <c r="E256" s="7" t="str">
        <f>IF($B256&gt;Trainingsdaten!$H$3,"",INDEX(Trainingsdaten!C:C,$C256+1))</f>
        <v/>
      </c>
      <c r="F256" s="7" t="str">
        <f>IF($B256&gt;Trainingsdaten!$H$3,"",INDEX(Trainingsdaten!D:D,$C256+1))</f>
        <v/>
      </c>
      <c r="G256" s="7" t="str">
        <f>IF($B256&gt;Trainingsdaten!$H$3,"",INDEX(Trainingsdaten!E:E,$C256+1))</f>
        <v/>
      </c>
      <c r="H256" s="11" t="str">
        <f>IF($B256&gt;Trainingsdaten!$H$3,"",Trainingsdaten!$H$2)</f>
        <v/>
      </c>
      <c r="I256" s="7" t="str">
        <f>IF(B256&gt;Trainingsdaten!$H$3,"",I255+H256*N255*E256)</f>
        <v/>
      </c>
      <c r="J256" s="7" t="str">
        <f>IF(B256&gt;Trainingsdaten!$H$3,"",J255+H256*N255*F256)</f>
        <v/>
      </c>
      <c r="K256" s="7" t="str">
        <f>IF(B256&gt;Trainingsdaten!$H$3,"",K255+H256*N255)</f>
        <v/>
      </c>
      <c r="L256" s="7" t="str">
        <f>IF(B256&gt;Trainingsdaten!$H$3,"",E256*I256+F256*J256+K256)</f>
        <v/>
      </c>
      <c r="M256" s="7" t="str">
        <f>IF(B256&gt;Trainingsdaten!$H$3,"",IF(L256&gt;0,1,0))</f>
        <v/>
      </c>
      <c r="N256" s="7" t="str">
        <f>IF(B256&gt;Trainingsdaten!$H$3,"",G256-M256)</f>
        <v/>
      </c>
    </row>
    <row r="257" spans="1:14" x14ac:dyDescent="0.25">
      <c r="A257" s="9" t="str">
        <f>IF($B257&gt;Trainingsdaten!$H$3,"",MOD(ROW()-4,Trainingsdaten!$H$4)+1)</f>
        <v/>
      </c>
      <c r="B257" s="11" t="str">
        <f>IF(INT((ROW()-4)/Trainingsdaten!$H$4)+1&gt;Trainingsdaten!$H$3,"",INT((ROW()-4)/Trainingsdaten!$H$4)+1)</f>
        <v/>
      </c>
      <c r="C257" s="9" t="str">
        <f>IF(INT((ROW()-4)/Trainingsdaten!$H$4)+1&gt;Trainingsdaten!$H$3,"",MOD(ROW()-4,Trainingsdaten!$H$4)+1)</f>
        <v/>
      </c>
      <c r="D257" s="9" t="str">
        <f>IF($B257&gt;Trainingsdaten!$H$3,"",INDEX(Trainingsdaten!B:B,$C257+1))</f>
        <v/>
      </c>
      <c r="E257" s="7" t="str">
        <f>IF($B257&gt;Trainingsdaten!$H$3,"",INDEX(Trainingsdaten!C:C,$C257+1))</f>
        <v/>
      </c>
      <c r="F257" s="7" t="str">
        <f>IF($B257&gt;Trainingsdaten!$H$3,"",INDEX(Trainingsdaten!D:D,$C257+1))</f>
        <v/>
      </c>
      <c r="G257" s="7" t="str">
        <f>IF($B257&gt;Trainingsdaten!$H$3,"",INDEX(Trainingsdaten!E:E,$C257+1))</f>
        <v/>
      </c>
      <c r="H257" s="11" t="str">
        <f>IF($B257&gt;Trainingsdaten!$H$3,"",Trainingsdaten!$H$2)</f>
        <v/>
      </c>
      <c r="I257" s="7" t="str">
        <f>IF(B257&gt;Trainingsdaten!$H$3,"",I256+H257*N256*E257)</f>
        <v/>
      </c>
      <c r="J257" s="7" t="str">
        <f>IF(B257&gt;Trainingsdaten!$H$3,"",J256+H257*N256*F257)</f>
        <v/>
      </c>
      <c r="K257" s="7" t="str">
        <f>IF(B257&gt;Trainingsdaten!$H$3,"",K256+H257*N256)</f>
        <v/>
      </c>
      <c r="L257" s="7" t="str">
        <f>IF(B257&gt;Trainingsdaten!$H$3,"",E257*I257+F257*J257+K257)</f>
        <v/>
      </c>
      <c r="M257" s="7" t="str">
        <f>IF(B257&gt;Trainingsdaten!$H$3,"",IF(L257&gt;0,1,0))</f>
        <v/>
      </c>
      <c r="N257" s="7" t="str">
        <f>IF(B257&gt;Trainingsdaten!$H$3,"",G257-M257)</f>
        <v/>
      </c>
    </row>
    <row r="258" spans="1:14" x14ac:dyDescent="0.25">
      <c r="A258" s="9" t="str">
        <f>IF($B258&gt;Trainingsdaten!$H$3,"",MOD(ROW()-4,Trainingsdaten!$H$4)+1)</f>
        <v/>
      </c>
      <c r="B258" s="11" t="str">
        <f>IF(INT((ROW()-4)/Trainingsdaten!$H$4)+1&gt;Trainingsdaten!$H$3,"",INT((ROW()-4)/Trainingsdaten!$H$4)+1)</f>
        <v/>
      </c>
      <c r="C258" s="9" t="str">
        <f>IF(INT((ROW()-4)/Trainingsdaten!$H$4)+1&gt;Trainingsdaten!$H$3,"",MOD(ROW()-4,Trainingsdaten!$H$4)+1)</f>
        <v/>
      </c>
      <c r="D258" s="9" t="str">
        <f>IF($B258&gt;Trainingsdaten!$H$3,"",INDEX(Trainingsdaten!B:B,$C258+1))</f>
        <v/>
      </c>
      <c r="E258" s="7" t="str">
        <f>IF($B258&gt;Trainingsdaten!$H$3,"",INDEX(Trainingsdaten!C:C,$C258+1))</f>
        <v/>
      </c>
      <c r="F258" s="7" t="str">
        <f>IF($B258&gt;Trainingsdaten!$H$3,"",INDEX(Trainingsdaten!D:D,$C258+1))</f>
        <v/>
      </c>
      <c r="G258" s="7" t="str">
        <f>IF($B258&gt;Trainingsdaten!$H$3,"",INDEX(Trainingsdaten!E:E,$C258+1))</f>
        <v/>
      </c>
      <c r="H258" s="11" t="str">
        <f>IF($B258&gt;Trainingsdaten!$H$3,"",Trainingsdaten!$H$2)</f>
        <v/>
      </c>
      <c r="I258" s="7" t="str">
        <f>IF(B258&gt;Trainingsdaten!$H$3,"",I257+H258*N257*E258)</f>
        <v/>
      </c>
      <c r="J258" s="7" t="str">
        <f>IF(B258&gt;Trainingsdaten!$H$3,"",J257+H258*N257*F258)</f>
        <v/>
      </c>
      <c r="K258" s="7" t="str">
        <f>IF(B258&gt;Trainingsdaten!$H$3,"",K257+H258*N257)</f>
        <v/>
      </c>
      <c r="L258" s="7" t="str">
        <f>IF(B258&gt;Trainingsdaten!$H$3,"",E258*I258+F258*J258+K258)</f>
        <v/>
      </c>
      <c r="M258" s="7" t="str">
        <f>IF(B258&gt;Trainingsdaten!$H$3,"",IF(L258&gt;0,1,0))</f>
        <v/>
      </c>
      <c r="N258" s="7" t="str">
        <f>IF(B258&gt;Trainingsdaten!$H$3,"",G258-M258)</f>
        <v/>
      </c>
    </row>
    <row r="259" spans="1:14" x14ac:dyDescent="0.25">
      <c r="A259" s="9" t="str">
        <f>IF($B259&gt;Trainingsdaten!$H$3,"",MOD(ROW()-4,Trainingsdaten!$H$4)+1)</f>
        <v/>
      </c>
      <c r="B259" s="11" t="str">
        <f>IF(INT((ROW()-4)/Trainingsdaten!$H$4)+1&gt;Trainingsdaten!$H$3,"",INT((ROW()-4)/Trainingsdaten!$H$4)+1)</f>
        <v/>
      </c>
      <c r="C259" s="9" t="str">
        <f>IF(INT((ROW()-4)/Trainingsdaten!$H$4)+1&gt;Trainingsdaten!$H$3,"",MOD(ROW()-4,Trainingsdaten!$H$4)+1)</f>
        <v/>
      </c>
      <c r="D259" s="9" t="str">
        <f>IF($B259&gt;Trainingsdaten!$H$3,"",INDEX(Trainingsdaten!B:B,$C259+1))</f>
        <v/>
      </c>
      <c r="E259" s="7" t="str">
        <f>IF($B259&gt;Trainingsdaten!$H$3,"",INDEX(Trainingsdaten!C:C,$C259+1))</f>
        <v/>
      </c>
      <c r="F259" s="7" t="str">
        <f>IF($B259&gt;Trainingsdaten!$H$3,"",INDEX(Trainingsdaten!D:D,$C259+1))</f>
        <v/>
      </c>
      <c r="G259" s="7" t="str">
        <f>IF($B259&gt;Trainingsdaten!$H$3,"",INDEX(Trainingsdaten!E:E,$C259+1))</f>
        <v/>
      </c>
      <c r="H259" s="11" t="str">
        <f>IF($B259&gt;Trainingsdaten!$H$3,"",Trainingsdaten!$H$2)</f>
        <v/>
      </c>
      <c r="I259" s="7" t="str">
        <f>IF(B259&gt;Trainingsdaten!$H$3,"",I258+H259*N258*E259)</f>
        <v/>
      </c>
      <c r="J259" s="7" t="str">
        <f>IF(B259&gt;Trainingsdaten!$H$3,"",J258+H259*N258*F259)</f>
        <v/>
      </c>
      <c r="K259" s="7" t="str">
        <f>IF(B259&gt;Trainingsdaten!$H$3,"",K258+H259*N258)</f>
        <v/>
      </c>
      <c r="L259" s="7" t="str">
        <f>IF(B259&gt;Trainingsdaten!$H$3,"",E259*I259+F259*J259+K259)</f>
        <v/>
      </c>
      <c r="M259" s="7" t="str">
        <f>IF(B259&gt;Trainingsdaten!$H$3,"",IF(L259&gt;0,1,0))</f>
        <v/>
      </c>
      <c r="N259" s="7" t="str">
        <f>IF(B259&gt;Trainingsdaten!$H$3,"",G259-M259)</f>
        <v/>
      </c>
    </row>
    <row r="260" spans="1:14" x14ac:dyDescent="0.25">
      <c r="A260" s="9" t="str">
        <f>IF($B260&gt;Trainingsdaten!$H$3,"",MOD(ROW()-4,Trainingsdaten!$H$4)+1)</f>
        <v/>
      </c>
      <c r="B260" s="11" t="str">
        <f>IF(INT((ROW()-4)/Trainingsdaten!$H$4)+1&gt;Trainingsdaten!$H$3,"",INT((ROW()-4)/Trainingsdaten!$H$4)+1)</f>
        <v/>
      </c>
      <c r="C260" s="9" t="str">
        <f>IF(INT((ROW()-4)/Trainingsdaten!$H$4)+1&gt;Trainingsdaten!$H$3,"",MOD(ROW()-4,Trainingsdaten!$H$4)+1)</f>
        <v/>
      </c>
      <c r="D260" s="9" t="str">
        <f>IF($B260&gt;Trainingsdaten!$H$3,"",INDEX(Trainingsdaten!B:B,$C260+1))</f>
        <v/>
      </c>
      <c r="E260" s="7" t="str">
        <f>IF($B260&gt;Trainingsdaten!$H$3,"",INDEX(Trainingsdaten!C:C,$C260+1))</f>
        <v/>
      </c>
      <c r="F260" s="7" t="str">
        <f>IF($B260&gt;Trainingsdaten!$H$3,"",INDEX(Trainingsdaten!D:D,$C260+1))</f>
        <v/>
      </c>
      <c r="G260" s="7" t="str">
        <f>IF($B260&gt;Trainingsdaten!$H$3,"",INDEX(Trainingsdaten!E:E,$C260+1))</f>
        <v/>
      </c>
      <c r="H260" s="11" t="str">
        <f>IF($B260&gt;Trainingsdaten!$H$3,"",Trainingsdaten!$H$2)</f>
        <v/>
      </c>
      <c r="I260" s="7" t="str">
        <f>IF(B260&gt;Trainingsdaten!$H$3,"",I259+H260*N259*E260)</f>
        <v/>
      </c>
      <c r="J260" s="7" t="str">
        <f>IF(B260&gt;Trainingsdaten!$H$3,"",J259+H260*N259*F260)</f>
        <v/>
      </c>
      <c r="K260" s="7" t="str">
        <f>IF(B260&gt;Trainingsdaten!$H$3,"",K259+H260*N259)</f>
        <v/>
      </c>
      <c r="L260" s="7" t="str">
        <f>IF(B260&gt;Trainingsdaten!$H$3,"",E260*I260+F260*J260+K260)</f>
        <v/>
      </c>
      <c r="M260" s="7" t="str">
        <f>IF(B260&gt;Trainingsdaten!$H$3,"",IF(L260&gt;0,1,0))</f>
        <v/>
      </c>
      <c r="N260" s="7" t="str">
        <f>IF(B260&gt;Trainingsdaten!$H$3,"",G260-M260)</f>
        <v/>
      </c>
    </row>
    <row r="261" spans="1:14" x14ac:dyDescent="0.25">
      <c r="A261" s="9" t="str">
        <f>IF($B261&gt;Trainingsdaten!$H$3,"",MOD(ROW()-4,Trainingsdaten!$H$4)+1)</f>
        <v/>
      </c>
      <c r="B261" s="11" t="str">
        <f>IF(INT((ROW()-4)/Trainingsdaten!$H$4)+1&gt;Trainingsdaten!$H$3,"",INT((ROW()-4)/Trainingsdaten!$H$4)+1)</f>
        <v/>
      </c>
      <c r="C261" s="9" t="str">
        <f>IF(INT((ROW()-4)/Trainingsdaten!$H$4)+1&gt;Trainingsdaten!$H$3,"",MOD(ROW()-4,Trainingsdaten!$H$4)+1)</f>
        <v/>
      </c>
      <c r="D261" s="9" t="str">
        <f>IF($B261&gt;Trainingsdaten!$H$3,"",INDEX(Trainingsdaten!B:B,$C261+1))</f>
        <v/>
      </c>
      <c r="E261" s="7" t="str">
        <f>IF($B261&gt;Trainingsdaten!$H$3,"",INDEX(Trainingsdaten!C:C,$C261+1))</f>
        <v/>
      </c>
      <c r="F261" s="7" t="str">
        <f>IF($B261&gt;Trainingsdaten!$H$3,"",INDEX(Trainingsdaten!D:D,$C261+1))</f>
        <v/>
      </c>
      <c r="G261" s="7" t="str">
        <f>IF($B261&gt;Trainingsdaten!$H$3,"",INDEX(Trainingsdaten!E:E,$C261+1))</f>
        <v/>
      </c>
      <c r="H261" s="11" t="str">
        <f>IF($B261&gt;Trainingsdaten!$H$3,"",Trainingsdaten!$H$2)</f>
        <v/>
      </c>
      <c r="I261" s="7" t="str">
        <f>IF(B261&gt;Trainingsdaten!$H$3,"",I260+H261*N260*E261)</f>
        <v/>
      </c>
      <c r="J261" s="7" t="str">
        <f>IF(B261&gt;Trainingsdaten!$H$3,"",J260+H261*N260*F261)</f>
        <v/>
      </c>
      <c r="K261" s="7" t="str">
        <f>IF(B261&gt;Trainingsdaten!$H$3,"",K260+H261*N260)</f>
        <v/>
      </c>
      <c r="L261" s="7" t="str">
        <f>IF(B261&gt;Trainingsdaten!$H$3,"",E261*I261+F261*J261+K261)</f>
        <v/>
      </c>
      <c r="M261" s="7" t="str">
        <f>IF(B261&gt;Trainingsdaten!$H$3,"",IF(L261&gt;0,1,0))</f>
        <v/>
      </c>
      <c r="N261" s="7" t="str">
        <f>IF(B261&gt;Trainingsdaten!$H$3,"",G261-M261)</f>
        <v/>
      </c>
    </row>
    <row r="262" spans="1:14" x14ac:dyDescent="0.25">
      <c r="A262" s="9" t="str">
        <f>IF($B262&gt;Trainingsdaten!$H$3,"",MOD(ROW()-4,Trainingsdaten!$H$4)+1)</f>
        <v/>
      </c>
      <c r="B262" s="11" t="str">
        <f>IF(INT((ROW()-4)/Trainingsdaten!$H$4)+1&gt;Trainingsdaten!$H$3,"",INT((ROW()-4)/Trainingsdaten!$H$4)+1)</f>
        <v/>
      </c>
      <c r="C262" s="9" t="str">
        <f>IF(INT((ROW()-4)/Trainingsdaten!$H$4)+1&gt;Trainingsdaten!$H$3,"",MOD(ROW()-4,Trainingsdaten!$H$4)+1)</f>
        <v/>
      </c>
      <c r="D262" s="9" t="str">
        <f>IF($B262&gt;Trainingsdaten!$H$3,"",INDEX(Trainingsdaten!B:B,$C262+1))</f>
        <v/>
      </c>
      <c r="E262" s="7" t="str">
        <f>IF($B262&gt;Trainingsdaten!$H$3,"",INDEX(Trainingsdaten!C:C,$C262+1))</f>
        <v/>
      </c>
      <c r="F262" s="7" t="str">
        <f>IF($B262&gt;Trainingsdaten!$H$3,"",INDEX(Trainingsdaten!D:D,$C262+1))</f>
        <v/>
      </c>
      <c r="G262" s="7" t="str">
        <f>IF($B262&gt;Trainingsdaten!$H$3,"",INDEX(Trainingsdaten!E:E,$C262+1))</f>
        <v/>
      </c>
      <c r="H262" s="11" t="str">
        <f>IF($B262&gt;Trainingsdaten!$H$3,"",Trainingsdaten!$H$2)</f>
        <v/>
      </c>
      <c r="I262" s="7" t="str">
        <f>IF(B262&gt;Trainingsdaten!$H$3,"",I261+H262*N261*E262)</f>
        <v/>
      </c>
      <c r="J262" s="7" t="str">
        <f>IF(B262&gt;Trainingsdaten!$H$3,"",J261+H262*N261*F262)</f>
        <v/>
      </c>
      <c r="K262" s="7" t="str">
        <f>IF(B262&gt;Trainingsdaten!$H$3,"",K261+H262*N261)</f>
        <v/>
      </c>
      <c r="L262" s="7" t="str">
        <f>IF(B262&gt;Trainingsdaten!$H$3,"",E262*I262+F262*J262+K262)</f>
        <v/>
      </c>
      <c r="M262" s="7" t="str">
        <f>IF(B262&gt;Trainingsdaten!$H$3,"",IF(L262&gt;0,1,0))</f>
        <v/>
      </c>
      <c r="N262" s="7" t="str">
        <f>IF(B262&gt;Trainingsdaten!$H$3,"",G262-M262)</f>
        <v/>
      </c>
    </row>
    <row r="263" spans="1:14" x14ac:dyDescent="0.25">
      <c r="A263" s="9" t="str">
        <f>IF($B263&gt;Trainingsdaten!$H$3,"",MOD(ROW()-4,Trainingsdaten!$H$4)+1)</f>
        <v/>
      </c>
      <c r="B263" s="11" t="str">
        <f>IF(INT((ROW()-4)/Trainingsdaten!$H$4)+1&gt;Trainingsdaten!$H$3,"",INT((ROW()-4)/Trainingsdaten!$H$4)+1)</f>
        <v/>
      </c>
      <c r="C263" s="9" t="str">
        <f>IF(INT((ROW()-4)/Trainingsdaten!$H$4)+1&gt;Trainingsdaten!$H$3,"",MOD(ROW()-4,Trainingsdaten!$H$4)+1)</f>
        <v/>
      </c>
      <c r="D263" s="9" t="str">
        <f>IF($B263&gt;Trainingsdaten!$H$3,"",INDEX(Trainingsdaten!B:B,$C263+1))</f>
        <v/>
      </c>
      <c r="E263" s="7" t="str">
        <f>IF($B263&gt;Trainingsdaten!$H$3,"",INDEX(Trainingsdaten!C:C,$C263+1))</f>
        <v/>
      </c>
      <c r="F263" s="7" t="str">
        <f>IF($B263&gt;Trainingsdaten!$H$3,"",INDEX(Trainingsdaten!D:D,$C263+1))</f>
        <v/>
      </c>
      <c r="G263" s="7" t="str">
        <f>IF($B263&gt;Trainingsdaten!$H$3,"",INDEX(Trainingsdaten!E:E,$C263+1))</f>
        <v/>
      </c>
      <c r="H263" s="11" t="str">
        <f>IF($B263&gt;Trainingsdaten!$H$3,"",Trainingsdaten!$H$2)</f>
        <v/>
      </c>
      <c r="I263" s="7" t="str">
        <f>IF(B263&gt;Trainingsdaten!$H$3,"",I262+H263*N262*E263)</f>
        <v/>
      </c>
      <c r="J263" s="7" t="str">
        <f>IF(B263&gt;Trainingsdaten!$H$3,"",J262+H263*N262*F263)</f>
        <v/>
      </c>
      <c r="K263" s="7" t="str">
        <f>IF(B263&gt;Trainingsdaten!$H$3,"",K262+H263*N262)</f>
        <v/>
      </c>
      <c r="L263" s="7" t="str">
        <f>IF(B263&gt;Trainingsdaten!$H$3,"",E263*I263+F263*J263+K263)</f>
        <v/>
      </c>
      <c r="M263" s="7" t="str">
        <f>IF(B263&gt;Trainingsdaten!$H$3,"",IF(L263&gt;0,1,0))</f>
        <v/>
      </c>
      <c r="N263" s="7" t="str">
        <f>IF(B263&gt;Trainingsdaten!$H$3,"",G263-M263)</f>
        <v/>
      </c>
    </row>
    <row r="264" spans="1:14" x14ac:dyDescent="0.25">
      <c r="A264" s="9" t="str">
        <f>IF($B264&gt;Trainingsdaten!$H$3,"",MOD(ROW()-4,Trainingsdaten!$H$4)+1)</f>
        <v/>
      </c>
      <c r="B264" s="11" t="str">
        <f>IF(INT((ROW()-4)/Trainingsdaten!$H$4)+1&gt;Trainingsdaten!$H$3,"",INT((ROW()-4)/Trainingsdaten!$H$4)+1)</f>
        <v/>
      </c>
      <c r="C264" s="9" t="str">
        <f>IF(INT((ROW()-4)/Trainingsdaten!$H$4)+1&gt;Trainingsdaten!$H$3,"",MOD(ROW()-4,Trainingsdaten!$H$4)+1)</f>
        <v/>
      </c>
      <c r="D264" s="9" t="str">
        <f>IF($B264&gt;Trainingsdaten!$H$3,"",INDEX(Trainingsdaten!B:B,$C264+1))</f>
        <v/>
      </c>
      <c r="E264" s="7" t="str">
        <f>IF($B264&gt;Trainingsdaten!$H$3,"",INDEX(Trainingsdaten!C:C,$C264+1))</f>
        <v/>
      </c>
      <c r="F264" s="7" t="str">
        <f>IF($B264&gt;Trainingsdaten!$H$3,"",INDEX(Trainingsdaten!D:D,$C264+1))</f>
        <v/>
      </c>
      <c r="G264" s="7" t="str">
        <f>IF($B264&gt;Trainingsdaten!$H$3,"",INDEX(Trainingsdaten!E:E,$C264+1))</f>
        <v/>
      </c>
      <c r="H264" s="11" t="str">
        <f>IF($B264&gt;Trainingsdaten!$H$3,"",Trainingsdaten!$H$2)</f>
        <v/>
      </c>
      <c r="I264" s="7" t="str">
        <f>IF(B264&gt;Trainingsdaten!$H$3,"",I263+H264*N263*E264)</f>
        <v/>
      </c>
      <c r="J264" s="7" t="str">
        <f>IF(B264&gt;Trainingsdaten!$H$3,"",J263+H264*N263*F264)</f>
        <v/>
      </c>
      <c r="K264" s="7" t="str">
        <f>IF(B264&gt;Trainingsdaten!$H$3,"",K263+H264*N263)</f>
        <v/>
      </c>
      <c r="L264" s="7" t="str">
        <f>IF(B264&gt;Trainingsdaten!$H$3,"",E264*I264+F264*J264+K264)</f>
        <v/>
      </c>
      <c r="M264" s="7" t="str">
        <f>IF(B264&gt;Trainingsdaten!$H$3,"",IF(L264&gt;0,1,0))</f>
        <v/>
      </c>
      <c r="N264" s="7" t="str">
        <f>IF(B264&gt;Trainingsdaten!$H$3,"",G264-M264)</f>
        <v/>
      </c>
    </row>
    <row r="265" spans="1:14" x14ac:dyDescent="0.25">
      <c r="A265" s="9" t="str">
        <f>IF($B265&gt;Trainingsdaten!$H$3,"",MOD(ROW()-4,Trainingsdaten!$H$4)+1)</f>
        <v/>
      </c>
      <c r="B265" s="11" t="str">
        <f>IF(INT((ROW()-4)/Trainingsdaten!$H$4)+1&gt;Trainingsdaten!$H$3,"",INT((ROW()-4)/Trainingsdaten!$H$4)+1)</f>
        <v/>
      </c>
      <c r="C265" s="9" t="str">
        <f>IF(INT((ROW()-4)/Trainingsdaten!$H$4)+1&gt;Trainingsdaten!$H$3,"",MOD(ROW()-4,Trainingsdaten!$H$4)+1)</f>
        <v/>
      </c>
      <c r="D265" s="9" t="str">
        <f>IF($B265&gt;Trainingsdaten!$H$3,"",INDEX(Trainingsdaten!B:B,$C265+1))</f>
        <v/>
      </c>
      <c r="E265" s="7" t="str">
        <f>IF($B265&gt;Trainingsdaten!$H$3,"",INDEX(Trainingsdaten!C:C,$C265+1))</f>
        <v/>
      </c>
      <c r="F265" s="7" t="str">
        <f>IF($B265&gt;Trainingsdaten!$H$3,"",INDEX(Trainingsdaten!D:D,$C265+1))</f>
        <v/>
      </c>
      <c r="G265" s="7" t="str">
        <f>IF($B265&gt;Trainingsdaten!$H$3,"",INDEX(Trainingsdaten!E:E,$C265+1))</f>
        <v/>
      </c>
      <c r="H265" s="11" t="str">
        <f>IF($B265&gt;Trainingsdaten!$H$3,"",Trainingsdaten!$H$2)</f>
        <v/>
      </c>
      <c r="I265" s="7" t="str">
        <f>IF(B265&gt;Trainingsdaten!$H$3,"",I264+H265*N264*E265)</f>
        <v/>
      </c>
      <c r="J265" s="7" t="str">
        <f>IF(B265&gt;Trainingsdaten!$H$3,"",J264+H265*N264*F265)</f>
        <v/>
      </c>
      <c r="K265" s="7" t="str">
        <f>IF(B265&gt;Trainingsdaten!$H$3,"",K264+H265*N264)</f>
        <v/>
      </c>
      <c r="L265" s="7" t="str">
        <f>IF(B265&gt;Trainingsdaten!$H$3,"",E265*I265+F265*J265+K265)</f>
        <v/>
      </c>
      <c r="M265" s="7" t="str">
        <f>IF(B265&gt;Trainingsdaten!$H$3,"",IF(L265&gt;0,1,0))</f>
        <v/>
      </c>
      <c r="N265" s="7" t="str">
        <f>IF(B265&gt;Trainingsdaten!$H$3,"",G265-M265)</f>
        <v/>
      </c>
    </row>
    <row r="266" spans="1:14" x14ac:dyDescent="0.25">
      <c r="A266" s="9" t="str">
        <f>IF($B266&gt;Trainingsdaten!$H$3,"",MOD(ROW()-4,Trainingsdaten!$H$4)+1)</f>
        <v/>
      </c>
      <c r="B266" s="11" t="str">
        <f>IF(INT((ROW()-4)/Trainingsdaten!$H$4)+1&gt;Trainingsdaten!$H$3,"",INT((ROW()-4)/Trainingsdaten!$H$4)+1)</f>
        <v/>
      </c>
      <c r="C266" s="9" t="str">
        <f>IF(INT((ROW()-4)/Trainingsdaten!$H$4)+1&gt;Trainingsdaten!$H$3,"",MOD(ROW()-4,Trainingsdaten!$H$4)+1)</f>
        <v/>
      </c>
      <c r="D266" s="9" t="str">
        <f>IF($B266&gt;Trainingsdaten!$H$3,"",INDEX(Trainingsdaten!B:B,$C266+1))</f>
        <v/>
      </c>
      <c r="E266" s="7" t="str">
        <f>IF($B266&gt;Trainingsdaten!$H$3,"",INDEX(Trainingsdaten!C:C,$C266+1))</f>
        <v/>
      </c>
      <c r="F266" s="7" t="str">
        <f>IF($B266&gt;Trainingsdaten!$H$3,"",INDEX(Trainingsdaten!D:D,$C266+1))</f>
        <v/>
      </c>
      <c r="G266" s="7" t="str">
        <f>IF($B266&gt;Trainingsdaten!$H$3,"",INDEX(Trainingsdaten!E:E,$C266+1))</f>
        <v/>
      </c>
      <c r="H266" s="11" t="str">
        <f>IF($B266&gt;Trainingsdaten!$H$3,"",Trainingsdaten!$H$2)</f>
        <v/>
      </c>
      <c r="I266" s="7" t="str">
        <f>IF(B266&gt;Trainingsdaten!$H$3,"",I265+H266*N265*E266)</f>
        <v/>
      </c>
      <c r="J266" s="7" t="str">
        <f>IF(B266&gt;Trainingsdaten!$H$3,"",J265+H266*N265*F266)</f>
        <v/>
      </c>
      <c r="K266" s="7" t="str">
        <f>IF(B266&gt;Trainingsdaten!$H$3,"",K265+H266*N265)</f>
        <v/>
      </c>
      <c r="L266" s="7" t="str">
        <f>IF(B266&gt;Trainingsdaten!$H$3,"",E266*I266+F266*J266+K266)</f>
        <v/>
      </c>
      <c r="M266" s="7" t="str">
        <f>IF(B266&gt;Trainingsdaten!$H$3,"",IF(L266&gt;0,1,0))</f>
        <v/>
      </c>
      <c r="N266" s="7" t="str">
        <f>IF(B266&gt;Trainingsdaten!$H$3,"",G266-M266)</f>
        <v/>
      </c>
    </row>
    <row r="267" spans="1:14" x14ac:dyDescent="0.25">
      <c r="A267" s="9" t="str">
        <f>IF($B267&gt;Trainingsdaten!$H$3,"",MOD(ROW()-4,Trainingsdaten!$H$4)+1)</f>
        <v/>
      </c>
      <c r="B267" s="11" t="str">
        <f>IF(INT((ROW()-4)/Trainingsdaten!$H$4)+1&gt;Trainingsdaten!$H$3,"",INT((ROW()-4)/Trainingsdaten!$H$4)+1)</f>
        <v/>
      </c>
      <c r="C267" s="9" t="str">
        <f>IF(INT((ROW()-4)/Trainingsdaten!$H$4)+1&gt;Trainingsdaten!$H$3,"",MOD(ROW()-4,Trainingsdaten!$H$4)+1)</f>
        <v/>
      </c>
      <c r="D267" s="9" t="str">
        <f>IF($B267&gt;Trainingsdaten!$H$3,"",INDEX(Trainingsdaten!B:B,$C267+1))</f>
        <v/>
      </c>
      <c r="E267" s="7" t="str">
        <f>IF($B267&gt;Trainingsdaten!$H$3,"",INDEX(Trainingsdaten!C:C,$C267+1))</f>
        <v/>
      </c>
      <c r="F267" s="7" t="str">
        <f>IF($B267&gt;Trainingsdaten!$H$3,"",INDEX(Trainingsdaten!D:D,$C267+1))</f>
        <v/>
      </c>
      <c r="G267" s="7" t="str">
        <f>IF($B267&gt;Trainingsdaten!$H$3,"",INDEX(Trainingsdaten!E:E,$C267+1))</f>
        <v/>
      </c>
      <c r="H267" s="11" t="str">
        <f>IF($B267&gt;Trainingsdaten!$H$3,"",Trainingsdaten!$H$2)</f>
        <v/>
      </c>
      <c r="I267" s="7" t="str">
        <f>IF(B267&gt;Trainingsdaten!$H$3,"",I266+H267*N266*E267)</f>
        <v/>
      </c>
      <c r="J267" s="7" t="str">
        <f>IF(B267&gt;Trainingsdaten!$H$3,"",J266+H267*N266*F267)</f>
        <v/>
      </c>
      <c r="K267" s="7" t="str">
        <f>IF(B267&gt;Trainingsdaten!$H$3,"",K266+H267*N266)</f>
        <v/>
      </c>
      <c r="L267" s="7" t="str">
        <f>IF(B267&gt;Trainingsdaten!$H$3,"",E267*I267+F267*J267+K267)</f>
        <v/>
      </c>
      <c r="M267" s="7" t="str">
        <f>IF(B267&gt;Trainingsdaten!$H$3,"",IF(L267&gt;0,1,0))</f>
        <v/>
      </c>
      <c r="N267" s="7" t="str">
        <f>IF(B267&gt;Trainingsdaten!$H$3,"",G267-M267)</f>
        <v/>
      </c>
    </row>
    <row r="268" spans="1:14" x14ac:dyDescent="0.25">
      <c r="A268" s="9" t="str">
        <f>IF($B268&gt;Trainingsdaten!$H$3,"",MOD(ROW()-4,Trainingsdaten!$H$4)+1)</f>
        <v/>
      </c>
      <c r="B268" s="11" t="str">
        <f>IF(INT((ROW()-4)/Trainingsdaten!$H$4)+1&gt;Trainingsdaten!$H$3,"",INT((ROW()-4)/Trainingsdaten!$H$4)+1)</f>
        <v/>
      </c>
      <c r="C268" s="9" t="str">
        <f>IF(INT((ROW()-4)/Trainingsdaten!$H$4)+1&gt;Trainingsdaten!$H$3,"",MOD(ROW()-4,Trainingsdaten!$H$4)+1)</f>
        <v/>
      </c>
      <c r="D268" s="9" t="str">
        <f>IF($B268&gt;Trainingsdaten!$H$3,"",INDEX(Trainingsdaten!B:B,$C268+1))</f>
        <v/>
      </c>
      <c r="E268" s="7" t="str">
        <f>IF($B268&gt;Trainingsdaten!$H$3,"",INDEX(Trainingsdaten!C:C,$C268+1))</f>
        <v/>
      </c>
      <c r="F268" s="7" t="str">
        <f>IF($B268&gt;Trainingsdaten!$H$3,"",INDEX(Trainingsdaten!D:D,$C268+1))</f>
        <v/>
      </c>
      <c r="G268" s="7" t="str">
        <f>IF($B268&gt;Trainingsdaten!$H$3,"",INDEX(Trainingsdaten!E:E,$C268+1))</f>
        <v/>
      </c>
      <c r="H268" s="11" t="str">
        <f>IF($B268&gt;Trainingsdaten!$H$3,"",Trainingsdaten!$H$2)</f>
        <v/>
      </c>
      <c r="I268" s="7" t="str">
        <f>IF(B268&gt;Trainingsdaten!$H$3,"",I267+H268*N267*E268)</f>
        <v/>
      </c>
      <c r="J268" s="7" t="str">
        <f>IF(B268&gt;Trainingsdaten!$H$3,"",J267+H268*N267*F268)</f>
        <v/>
      </c>
      <c r="K268" s="7" t="str">
        <f>IF(B268&gt;Trainingsdaten!$H$3,"",K267+H268*N267)</f>
        <v/>
      </c>
      <c r="L268" s="7" t="str">
        <f>IF(B268&gt;Trainingsdaten!$H$3,"",E268*I268+F268*J268+K268)</f>
        <v/>
      </c>
      <c r="M268" s="7" t="str">
        <f>IF(B268&gt;Trainingsdaten!$H$3,"",IF(L268&gt;0,1,0))</f>
        <v/>
      </c>
      <c r="N268" s="7" t="str">
        <f>IF(B268&gt;Trainingsdaten!$H$3,"",G268-M268)</f>
        <v/>
      </c>
    </row>
    <row r="269" spans="1:14" x14ac:dyDescent="0.25">
      <c r="A269" s="9" t="str">
        <f>IF($B269&gt;Trainingsdaten!$H$3,"",MOD(ROW()-4,Trainingsdaten!$H$4)+1)</f>
        <v/>
      </c>
      <c r="B269" s="11" t="str">
        <f>IF(INT((ROW()-4)/Trainingsdaten!$H$4)+1&gt;Trainingsdaten!$H$3,"",INT((ROW()-4)/Trainingsdaten!$H$4)+1)</f>
        <v/>
      </c>
      <c r="C269" s="9" t="str">
        <f>IF(INT((ROW()-4)/Trainingsdaten!$H$4)+1&gt;Trainingsdaten!$H$3,"",MOD(ROW()-4,Trainingsdaten!$H$4)+1)</f>
        <v/>
      </c>
      <c r="D269" s="9" t="str">
        <f>IF($B269&gt;Trainingsdaten!$H$3,"",INDEX(Trainingsdaten!B:B,$C269+1))</f>
        <v/>
      </c>
      <c r="E269" s="7" t="str">
        <f>IF($B269&gt;Trainingsdaten!$H$3,"",INDEX(Trainingsdaten!C:C,$C269+1))</f>
        <v/>
      </c>
      <c r="F269" s="7" t="str">
        <f>IF($B269&gt;Trainingsdaten!$H$3,"",INDEX(Trainingsdaten!D:D,$C269+1))</f>
        <v/>
      </c>
      <c r="G269" s="7" t="str">
        <f>IF($B269&gt;Trainingsdaten!$H$3,"",INDEX(Trainingsdaten!E:E,$C269+1))</f>
        <v/>
      </c>
      <c r="H269" s="11" t="str">
        <f>IF($B269&gt;Trainingsdaten!$H$3,"",Trainingsdaten!$H$2)</f>
        <v/>
      </c>
      <c r="I269" s="7" t="str">
        <f>IF(B269&gt;Trainingsdaten!$H$3,"",I268+H269*N268*E269)</f>
        <v/>
      </c>
      <c r="J269" s="7" t="str">
        <f>IF(B269&gt;Trainingsdaten!$H$3,"",J268+H269*N268*F269)</f>
        <v/>
      </c>
      <c r="K269" s="7" t="str">
        <f>IF(B269&gt;Trainingsdaten!$H$3,"",K268+H269*N268)</f>
        <v/>
      </c>
      <c r="L269" s="7" t="str">
        <f>IF(B269&gt;Trainingsdaten!$H$3,"",E269*I269+F269*J269+K269)</f>
        <v/>
      </c>
      <c r="M269" s="7" t="str">
        <f>IF(B269&gt;Trainingsdaten!$H$3,"",IF(L269&gt;0,1,0))</f>
        <v/>
      </c>
      <c r="N269" s="7" t="str">
        <f>IF(B269&gt;Trainingsdaten!$H$3,"",G269-M269)</f>
        <v/>
      </c>
    </row>
    <row r="270" spans="1:14" x14ac:dyDescent="0.25">
      <c r="A270" s="9" t="str">
        <f>IF($B270&gt;Trainingsdaten!$H$3,"",MOD(ROW()-4,Trainingsdaten!$H$4)+1)</f>
        <v/>
      </c>
      <c r="B270" s="11" t="str">
        <f>IF(INT((ROW()-4)/Trainingsdaten!$H$4)+1&gt;Trainingsdaten!$H$3,"",INT((ROW()-4)/Trainingsdaten!$H$4)+1)</f>
        <v/>
      </c>
      <c r="C270" s="9" t="str">
        <f>IF(INT((ROW()-4)/Trainingsdaten!$H$4)+1&gt;Trainingsdaten!$H$3,"",MOD(ROW()-4,Trainingsdaten!$H$4)+1)</f>
        <v/>
      </c>
      <c r="D270" s="9" t="str">
        <f>IF($B270&gt;Trainingsdaten!$H$3,"",INDEX(Trainingsdaten!B:B,$C270+1))</f>
        <v/>
      </c>
      <c r="E270" s="7" t="str">
        <f>IF($B270&gt;Trainingsdaten!$H$3,"",INDEX(Trainingsdaten!C:C,$C270+1))</f>
        <v/>
      </c>
      <c r="F270" s="7" t="str">
        <f>IF($B270&gt;Trainingsdaten!$H$3,"",INDEX(Trainingsdaten!D:D,$C270+1))</f>
        <v/>
      </c>
      <c r="G270" s="7" t="str">
        <f>IF($B270&gt;Trainingsdaten!$H$3,"",INDEX(Trainingsdaten!E:E,$C270+1))</f>
        <v/>
      </c>
      <c r="H270" s="11" t="str">
        <f>IF($B270&gt;Trainingsdaten!$H$3,"",Trainingsdaten!$H$2)</f>
        <v/>
      </c>
      <c r="I270" s="7" t="str">
        <f>IF(B270&gt;Trainingsdaten!$H$3,"",I269+H270*N269*E270)</f>
        <v/>
      </c>
      <c r="J270" s="7" t="str">
        <f>IF(B270&gt;Trainingsdaten!$H$3,"",J269+H270*N269*F270)</f>
        <v/>
      </c>
      <c r="K270" s="7" t="str">
        <f>IF(B270&gt;Trainingsdaten!$H$3,"",K269+H270*N269)</f>
        <v/>
      </c>
      <c r="L270" s="7" t="str">
        <f>IF(B270&gt;Trainingsdaten!$H$3,"",E270*I270+F270*J270+K270)</f>
        <v/>
      </c>
      <c r="M270" s="7" t="str">
        <f>IF(B270&gt;Trainingsdaten!$H$3,"",IF(L270&gt;0,1,0))</f>
        <v/>
      </c>
      <c r="N270" s="7" t="str">
        <f>IF(B270&gt;Trainingsdaten!$H$3,"",G270-M270)</f>
        <v/>
      </c>
    </row>
    <row r="271" spans="1:14" x14ac:dyDescent="0.25">
      <c r="A271" s="9" t="str">
        <f>IF($B271&gt;Trainingsdaten!$H$3,"",MOD(ROW()-4,Trainingsdaten!$H$4)+1)</f>
        <v/>
      </c>
      <c r="B271" s="11" t="str">
        <f>IF(INT((ROW()-4)/Trainingsdaten!$H$4)+1&gt;Trainingsdaten!$H$3,"",INT((ROW()-4)/Trainingsdaten!$H$4)+1)</f>
        <v/>
      </c>
      <c r="C271" s="9" t="str">
        <f>IF(INT((ROW()-4)/Trainingsdaten!$H$4)+1&gt;Trainingsdaten!$H$3,"",MOD(ROW()-4,Trainingsdaten!$H$4)+1)</f>
        <v/>
      </c>
      <c r="D271" s="9" t="str">
        <f>IF($B271&gt;Trainingsdaten!$H$3,"",INDEX(Trainingsdaten!B:B,$C271+1))</f>
        <v/>
      </c>
      <c r="E271" s="7" t="str">
        <f>IF($B271&gt;Trainingsdaten!$H$3,"",INDEX(Trainingsdaten!C:C,$C271+1))</f>
        <v/>
      </c>
      <c r="F271" s="7" t="str">
        <f>IF($B271&gt;Trainingsdaten!$H$3,"",INDEX(Trainingsdaten!D:D,$C271+1))</f>
        <v/>
      </c>
      <c r="G271" s="7" t="str">
        <f>IF($B271&gt;Trainingsdaten!$H$3,"",INDEX(Trainingsdaten!E:E,$C271+1))</f>
        <v/>
      </c>
      <c r="H271" s="11" t="str">
        <f>IF($B271&gt;Trainingsdaten!$H$3,"",Trainingsdaten!$H$2)</f>
        <v/>
      </c>
      <c r="I271" s="7" t="str">
        <f>IF(B271&gt;Trainingsdaten!$H$3,"",I270+H271*N270*E271)</f>
        <v/>
      </c>
      <c r="J271" s="7" t="str">
        <f>IF(B271&gt;Trainingsdaten!$H$3,"",J270+H271*N270*F271)</f>
        <v/>
      </c>
      <c r="K271" s="7" t="str">
        <f>IF(B271&gt;Trainingsdaten!$H$3,"",K270+H271*N270)</f>
        <v/>
      </c>
      <c r="L271" s="7" t="str">
        <f>IF(B271&gt;Trainingsdaten!$H$3,"",E271*I271+F271*J271+K271)</f>
        <v/>
      </c>
      <c r="M271" s="7" t="str">
        <f>IF(B271&gt;Trainingsdaten!$H$3,"",IF(L271&gt;0,1,0))</f>
        <v/>
      </c>
      <c r="N271" s="7" t="str">
        <f>IF(B271&gt;Trainingsdaten!$H$3,"",G271-M271)</f>
        <v/>
      </c>
    </row>
    <row r="272" spans="1:14" x14ac:dyDescent="0.25">
      <c r="A272" s="9" t="str">
        <f>IF($B272&gt;Trainingsdaten!$H$3,"",MOD(ROW()-4,Trainingsdaten!$H$4)+1)</f>
        <v/>
      </c>
      <c r="B272" s="11" t="str">
        <f>IF(INT((ROW()-4)/Trainingsdaten!$H$4)+1&gt;Trainingsdaten!$H$3,"",INT((ROW()-4)/Trainingsdaten!$H$4)+1)</f>
        <v/>
      </c>
      <c r="C272" s="9" t="str">
        <f>IF(INT((ROW()-4)/Trainingsdaten!$H$4)+1&gt;Trainingsdaten!$H$3,"",MOD(ROW()-4,Trainingsdaten!$H$4)+1)</f>
        <v/>
      </c>
      <c r="D272" s="9" t="str">
        <f>IF($B272&gt;Trainingsdaten!$H$3,"",INDEX(Trainingsdaten!B:B,$C272+1))</f>
        <v/>
      </c>
      <c r="E272" s="7" t="str">
        <f>IF($B272&gt;Trainingsdaten!$H$3,"",INDEX(Trainingsdaten!C:C,$C272+1))</f>
        <v/>
      </c>
      <c r="F272" s="7" t="str">
        <f>IF($B272&gt;Trainingsdaten!$H$3,"",INDEX(Trainingsdaten!D:D,$C272+1))</f>
        <v/>
      </c>
      <c r="G272" s="7" t="str">
        <f>IF($B272&gt;Trainingsdaten!$H$3,"",INDEX(Trainingsdaten!E:E,$C272+1))</f>
        <v/>
      </c>
      <c r="H272" s="11" t="str">
        <f>IF($B272&gt;Trainingsdaten!$H$3,"",Trainingsdaten!$H$2)</f>
        <v/>
      </c>
      <c r="I272" s="7" t="str">
        <f>IF(B272&gt;Trainingsdaten!$H$3,"",I271+H272*N271*E272)</f>
        <v/>
      </c>
      <c r="J272" s="7" t="str">
        <f>IF(B272&gt;Trainingsdaten!$H$3,"",J271+H272*N271*F272)</f>
        <v/>
      </c>
      <c r="K272" s="7" t="str">
        <f>IF(B272&gt;Trainingsdaten!$H$3,"",K271+H272*N271)</f>
        <v/>
      </c>
      <c r="L272" s="7" t="str">
        <f>IF(B272&gt;Trainingsdaten!$H$3,"",E272*I272+F272*J272+K272)</f>
        <v/>
      </c>
      <c r="M272" s="7" t="str">
        <f>IF(B272&gt;Trainingsdaten!$H$3,"",IF(L272&gt;0,1,0))</f>
        <v/>
      </c>
      <c r="N272" s="7" t="str">
        <f>IF(B272&gt;Trainingsdaten!$H$3,"",G272-M272)</f>
        <v/>
      </c>
    </row>
    <row r="273" spans="1:14" x14ac:dyDescent="0.25">
      <c r="A273" s="9" t="str">
        <f>IF($B273&gt;Trainingsdaten!$H$3,"",MOD(ROW()-4,Trainingsdaten!$H$4)+1)</f>
        <v/>
      </c>
      <c r="B273" s="11" t="str">
        <f>IF(INT((ROW()-4)/Trainingsdaten!$H$4)+1&gt;Trainingsdaten!$H$3,"",INT((ROW()-4)/Trainingsdaten!$H$4)+1)</f>
        <v/>
      </c>
      <c r="C273" s="9" t="str">
        <f>IF(INT((ROW()-4)/Trainingsdaten!$H$4)+1&gt;Trainingsdaten!$H$3,"",MOD(ROW()-4,Trainingsdaten!$H$4)+1)</f>
        <v/>
      </c>
      <c r="D273" s="9" t="str">
        <f>IF($B273&gt;Trainingsdaten!$H$3,"",INDEX(Trainingsdaten!B:B,$C273+1))</f>
        <v/>
      </c>
      <c r="E273" s="7" t="str">
        <f>IF($B273&gt;Trainingsdaten!$H$3,"",INDEX(Trainingsdaten!C:C,$C273+1))</f>
        <v/>
      </c>
      <c r="F273" s="7" t="str">
        <f>IF($B273&gt;Trainingsdaten!$H$3,"",INDEX(Trainingsdaten!D:D,$C273+1))</f>
        <v/>
      </c>
      <c r="G273" s="7" t="str">
        <f>IF($B273&gt;Trainingsdaten!$H$3,"",INDEX(Trainingsdaten!E:E,$C273+1))</f>
        <v/>
      </c>
      <c r="H273" s="11" t="str">
        <f>IF($B273&gt;Trainingsdaten!$H$3,"",Trainingsdaten!$H$2)</f>
        <v/>
      </c>
      <c r="I273" s="7" t="str">
        <f>IF(B273&gt;Trainingsdaten!$H$3,"",I272+H273*N272*E273)</f>
        <v/>
      </c>
      <c r="J273" s="7" t="str">
        <f>IF(B273&gt;Trainingsdaten!$H$3,"",J272+H273*N272*F273)</f>
        <v/>
      </c>
      <c r="K273" s="7" t="str">
        <f>IF(B273&gt;Trainingsdaten!$H$3,"",K272+H273*N272)</f>
        <v/>
      </c>
      <c r="L273" s="7" t="str">
        <f>IF(B273&gt;Trainingsdaten!$H$3,"",E273*I273+F273*J273+K273)</f>
        <v/>
      </c>
      <c r="M273" s="7" t="str">
        <f>IF(B273&gt;Trainingsdaten!$H$3,"",IF(L273&gt;0,1,0))</f>
        <v/>
      </c>
      <c r="N273" s="7" t="str">
        <f>IF(B273&gt;Trainingsdaten!$H$3,"",G273-M273)</f>
        <v/>
      </c>
    </row>
    <row r="274" spans="1:14" x14ac:dyDescent="0.25">
      <c r="A274" s="9" t="str">
        <f>IF($B274&gt;Trainingsdaten!$H$3,"",MOD(ROW()-4,Trainingsdaten!$H$4)+1)</f>
        <v/>
      </c>
      <c r="B274" s="11" t="str">
        <f>IF(INT((ROW()-4)/Trainingsdaten!$H$4)+1&gt;Trainingsdaten!$H$3,"",INT((ROW()-4)/Trainingsdaten!$H$4)+1)</f>
        <v/>
      </c>
      <c r="C274" s="9" t="str">
        <f>IF(INT((ROW()-4)/Trainingsdaten!$H$4)+1&gt;Trainingsdaten!$H$3,"",MOD(ROW()-4,Trainingsdaten!$H$4)+1)</f>
        <v/>
      </c>
      <c r="D274" s="9" t="str">
        <f>IF($B274&gt;Trainingsdaten!$H$3,"",INDEX(Trainingsdaten!B:B,$C274+1))</f>
        <v/>
      </c>
      <c r="E274" s="7" t="str">
        <f>IF($B274&gt;Trainingsdaten!$H$3,"",INDEX(Trainingsdaten!C:C,$C274+1))</f>
        <v/>
      </c>
      <c r="F274" s="7" t="str">
        <f>IF($B274&gt;Trainingsdaten!$H$3,"",INDEX(Trainingsdaten!D:D,$C274+1))</f>
        <v/>
      </c>
      <c r="G274" s="7" t="str">
        <f>IF($B274&gt;Trainingsdaten!$H$3,"",INDEX(Trainingsdaten!E:E,$C274+1))</f>
        <v/>
      </c>
      <c r="H274" s="11" t="str">
        <f>IF($B274&gt;Trainingsdaten!$H$3,"",Trainingsdaten!$H$2)</f>
        <v/>
      </c>
      <c r="I274" s="7" t="str">
        <f>IF(B274&gt;Trainingsdaten!$H$3,"",I273+H274*N273*E274)</f>
        <v/>
      </c>
      <c r="J274" s="7" t="str">
        <f>IF(B274&gt;Trainingsdaten!$H$3,"",J273+H274*N273*F274)</f>
        <v/>
      </c>
      <c r="K274" s="7" t="str">
        <f>IF(B274&gt;Trainingsdaten!$H$3,"",K273+H274*N273)</f>
        <v/>
      </c>
      <c r="L274" s="7" t="str">
        <f>IF(B274&gt;Trainingsdaten!$H$3,"",E274*I274+F274*J274+K274)</f>
        <v/>
      </c>
      <c r="M274" s="7" t="str">
        <f>IF(B274&gt;Trainingsdaten!$H$3,"",IF(L274&gt;0,1,0))</f>
        <v/>
      </c>
      <c r="N274" s="7" t="str">
        <f>IF(B274&gt;Trainingsdaten!$H$3,"",G274-M274)</f>
        <v/>
      </c>
    </row>
    <row r="275" spans="1:14" x14ac:dyDescent="0.25">
      <c r="A275" s="9" t="str">
        <f>IF($B275&gt;Trainingsdaten!$H$3,"",MOD(ROW()-4,Trainingsdaten!$H$4)+1)</f>
        <v/>
      </c>
      <c r="B275" s="11" t="str">
        <f>IF(INT((ROW()-4)/Trainingsdaten!$H$4)+1&gt;Trainingsdaten!$H$3,"",INT((ROW()-4)/Trainingsdaten!$H$4)+1)</f>
        <v/>
      </c>
      <c r="C275" s="9" t="str">
        <f>IF(INT((ROW()-4)/Trainingsdaten!$H$4)+1&gt;Trainingsdaten!$H$3,"",MOD(ROW()-4,Trainingsdaten!$H$4)+1)</f>
        <v/>
      </c>
      <c r="D275" s="9" t="str">
        <f>IF($B275&gt;Trainingsdaten!$H$3,"",INDEX(Trainingsdaten!B:B,$C275+1))</f>
        <v/>
      </c>
      <c r="E275" s="7" t="str">
        <f>IF($B275&gt;Trainingsdaten!$H$3,"",INDEX(Trainingsdaten!C:C,$C275+1))</f>
        <v/>
      </c>
      <c r="F275" s="7" t="str">
        <f>IF($B275&gt;Trainingsdaten!$H$3,"",INDEX(Trainingsdaten!D:D,$C275+1))</f>
        <v/>
      </c>
      <c r="G275" s="7" t="str">
        <f>IF($B275&gt;Trainingsdaten!$H$3,"",INDEX(Trainingsdaten!E:E,$C275+1))</f>
        <v/>
      </c>
      <c r="H275" s="11" t="str">
        <f>IF($B275&gt;Trainingsdaten!$H$3,"",Trainingsdaten!$H$2)</f>
        <v/>
      </c>
      <c r="I275" s="7" t="str">
        <f>IF(B275&gt;Trainingsdaten!$H$3,"",I274+H275*N274*E275)</f>
        <v/>
      </c>
      <c r="J275" s="7" t="str">
        <f>IF(B275&gt;Trainingsdaten!$H$3,"",J274+H275*N274*F275)</f>
        <v/>
      </c>
      <c r="K275" s="7" t="str">
        <f>IF(B275&gt;Trainingsdaten!$H$3,"",K274+H275*N274)</f>
        <v/>
      </c>
      <c r="L275" s="7" t="str">
        <f>IF(B275&gt;Trainingsdaten!$H$3,"",E275*I275+F275*J275+K275)</f>
        <v/>
      </c>
      <c r="M275" s="7" t="str">
        <f>IF(B275&gt;Trainingsdaten!$H$3,"",IF(L275&gt;0,1,0))</f>
        <v/>
      </c>
      <c r="N275" s="7" t="str">
        <f>IF(B275&gt;Trainingsdaten!$H$3,"",G275-M275)</f>
        <v/>
      </c>
    </row>
    <row r="276" spans="1:14" x14ac:dyDescent="0.25">
      <c r="A276" s="9" t="str">
        <f>IF($B276&gt;Trainingsdaten!$H$3,"",MOD(ROW()-4,Trainingsdaten!$H$4)+1)</f>
        <v/>
      </c>
      <c r="B276" s="11" t="str">
        <f>IF(INT((ROW()-4)/Trainingsdaten!$H$4)+1&gt;Trainingsdaten!$H$3,"",INT((ROW()-4)/Trainingsdaten!$H$4)+1)</f>
        <v/>
      </c>
      <c r="C276" s="9" t="str">
        <f>IF(INT((ROW()-4)/Trainingsdaten!$H$4)+1&gt;Trainingsdaten!$H$3,"",MOD(ROW()-4,Trainingsdaten!$H$4)+1)</f>
        <v/>
      </c>
      <c r="D276" s="9" t="str">
        <f>IF($B276&gt;Trainingsdaten!$H$3,"",INDEX(Trainingsdaten!B:B,$C276+1))</f>
        <v/>
      </c>
      <c r="E276" s="7" t="str">
        <f>IF($B276&gt;Trainingsdaten!$H$3,"",INDEX(Trainingsdaten!C:C,$C276+1))</f>
        <v/>
      </c>
      <c r="F276" s="7" t="str">
        <f>IF($B276&gt;Trainingsdaten!$H$3,"",INDEX(Trainingsdaten!D:D,$C276+1))</f>
        <v/>
      </c>
      <c r="G276" s="7" t="str">
        <f>IF($B276&gt;Trainingsdaten!$H$3,"",INDEX(Trainingsdaten!E:E,$C276+1))</f>
        <v/>
      </c>
      <c r="H276" s="11" t="str">
        <f>IF($B276&gt;Trainingsdaten!$H$3,"",Trainingsdaten!$H$2)</f>
        <v/>
      </c>
      <c r="I276" s="7" t="str">
        <f>IF(B276&gt;Trainingsdaten!$H$3,"",I275+H276*N275*E276)</f>
        <v/>
      </c>
      <c r="J276" s="7" t="str">
        <f>IF(B276&gt;Trainingsdaten!$H$3,"",J275+H276*N275*F276)</f>
        <v/>
      </c>
      <c r="K276" s="7" t="str">
        <f>IF(B276&gt;Trainingsdaten!$H$3,"",K275+H276*N275)</f>
        <v/>
      </c>
      <c r="L276" s="7" t="str">
        <f>IF(B276&gt;Trainingsdaten!$H$3,"",E276*I276+F276*J276+K276)</f>
        <v/>
      </c>
      <c r="M276" s="7" t="str">
        <f>IF(B276&gt;Trainingsdaten!$H$3,"",IF(L276&gt;0,1,0))</f>
        <v/>
      </c>
      <c r="N276" s="7" t="str">
        <f>IF(B276&gt;Trainingsdaten!$H$3,"",G276-M276)</f>
        <v/>
      </c>
    </row>
    <row r="277" spans="1:14" x14ac:dyDescent="0.25">
      <c r="A277" s="9" t="str">
        <f>IF($B277&gt;Trainingsdaten!$H$3,"",MOD(ROW()-4,Trainingsdaten!$H$4)+1)</f>
        <v/>
      </c>
      <c r="B277" s="11" t="str">
        <f>IF(INT((ROW()-4)/Trainingsdaten!$H$4)+1&gt;Trainingsdaten!$H$3,"",INT((ROW()-4)/Trainingsdaten!$H$4)+1)</f>
        <v/>
      </c>
      <c r="C277" s="9" t="str">
        <f>IF(INT((ROW()-4)/Trainingsdaten!$H$4)+1&gt;Trainingsdaten!$H$3,"",MOD(ROW()-4,Trainingsdaten!$H$4)+1)</f>
        <v/>
      </c>
      <c r="D277" s="9" t="str">
        <f>IF($B277&gt;Trainingsdaten!$H$3,"",INDEX(Trainingsdaten!B:B,$C277+1))</f>
        <v/>
      </c>
      <c r="E277" s="7" t="str">
        <f>IF($B277&gt;Trainingsdaten!$H$3,"",INDEX(Trainingsdaten!C:C,$C277+1))</f>
        <v/>
      </c>
      <c r="F277" s="7" t="str">
        <f>IF($B277&gt;Trainingsdaten!$H$3,"",INDEX(Trainingsdaten!D:D,$C277+1))</f>
        <v/>
      </c>
      <c r="G277" s="7" t="str">
        <f>IF($B277&gt;Trainingsdaten!$H$3,"",INDEX(Trainingsdaten!E:E,$C277+1))</f>
        <v/>
      </c>
      <c r="H277" s="11" t="str">
        <f>IF($B277&gt;Trainingsdaten!$H$3,"",Trainingsdaten!$H$2)</f>
        <v/>
      </c>
      <c r="I277" s="7" t="str">
        <f>IF(B277&gt;Trainingsdaten!$H$3,"",I276+H277*N276*E277)</f>
        <v/>
      </c>
      <c r="J277" s="7" t="str">
        <f>IF(B277&gt;Trainingsdaten!$H$3,"",J276+H277*N276*F277)</f>
        <v/>
      </c>
      <c r="K277" s="7" t="str">
        <f>IF(B277&gt;Trainingsdaten!$H$3,"",K276+H277*N276)</f>
        <v/>
      </c>
      <c r="L277" s="7" t="str">
        <f>IF(B277&gt;Trainingsdaten!$H$3,"",E277*I277+F277*J277+K277)</f>
        <v/>
      </c>
      <c r="M277" s="7" t="str">
        <f>IF(B277&gt;Trainingsdaten!$H$3,"",IF(L277&gt;0,1,0))</f>
        <v/>
      </c>
      <c r="N277" s="7" t="str">
        <f>IF(B277&gt;Trainingsdaten!$H$3,"",G277-M277)</f>
        <v/>
      </c>
    </row>
    <row r="278" spans="1:14" x14ac:dyDescent="0.25">
      <c r="A278" s="9" t="str">
        <f>IF($B278&gt;Trainingsdaten!$H$3,"",MOD(ROW()-4,Trainingsdaten!$H$4)+1)</f>
        <v/>
      </c>
      <c r="B278" s="11" t="str">
        <f>IF(INT((ROW()-4)/Trainingsdaten!$H$4)+1&gt;Trainingsdaten!$H$3,"",INT((ROW()-4)/Trainingsdaten!$H$4)+1)</f>
        <v/>
      </c>
      <c r="C278" s="9" t="str">
        <f>IF(INT((ROW()-4)/Trainingsdaten!$H$4)+1&gt;Trainingsdaten!$H$3,"",MOD(ROW()-4,Trainingsdaten!$H$4)+1)</f>
        <v/>
      </c>
      <c r="D278" s="9" t="str">
        <f>IF($B278&gt;Trainingsdaten!$H$3,"",INDEX(Trainingsdaten!B:B,$C278+1))</f>
        <v/>
      </c>
      <c r="E278" s="7" t="str">
        <f>IF($B278&gt;Trainingsdaten!$H$3,"",INDEX(Trainingsdaten!C:C,$C278+1))</f>
        <v/>
      </c>
      <c r="F278" s="7" t="str">
        <f>IF($B278&gt;Trainingsdaten!$H$3,"",INDEX(Trainingsdaten!D:D,$C278+1))</f>
        <v/>
      </c>
      <c r="G278" s="7" t="str">
        <f>IF($B278&gt;Trainingsdaten!$H$3,"",INDEX(Trainingsdaten!E:E,$C278+1))</f>
        <v/>
      </c>
      <c r="H278" s="11" t="str">
        <f>IF($B278&gt;Trainingsdaten!$H$3,"",Trainingsdaten!$H$2)</f>
        <v/>
      </c>
      <c r="I278" s="7" t="str">
        <f>IF(B278&gt;Trainingsdaten!$H$3,"",I277+H278*N277*E278)</f>
        <v/>
      </c>
      <c r="J278" s="7" t="str">
        <f>IF(B278&gt;Trainingsdaten!$H$3,"",J277+H278*N277*F278)</f>
        <v/>
      </c>
      <c r="K278" s="7" t="str">
        <f>IF(B278&gt;Trainingsdaten!$H$3,"",K277+H278*N277)</f>
        <v/>
      </c>
      <c r="L278" s="7" t="str">
        <f>IF(B278&gt;Trainingsdaten!$H$3,"",E278*I278+F278*J278+K278)</f>
        <v/>
      </c>
      <c r="M278" s="7" t="str">
        <f>IF(B278&gt;Trainingsdaten!$H$3,"",IF(L278&gt;0,1,0))</f>
        <v/>
      </c>
      <c r="N278" s="7" t="str">
        <f>IF(B278&gt;Trainingsdaten!$H$3,"",G278-M278)</f>
        <v/>
      </c>
    </row>
    <row r="279" spans="1:14" x14ac:dyDescent="0.25">
      <c r="A279" s="9" t="str">
        <f>IF($B279&gt;Trainingsdaten!$H$3,"",MOD(ROW()-4,Trainingsdaten!$H$4)+1)</f>
        <v/>
      </c>
      <c r="B279" s="11" t="str">
        <f>IF(INT((ROW()-4)/Trainingsdaten!$H$4)+1&gt;Trainingsdaten!$H$3,"",INT((ROW()-4)/Trainingsdaten!$H$4)+1)</f>
        <v/>
      </c>
      <c r="C279" s="9" t="str">
        <f>IF(INT((ROW()-4)/Trainingsdaten!$H$4)+1&gt;Trainingsdaten!$H$3,"",MOD(ROW()-4,Trainingsdaten!$H$4)+1)</f>
        <v/>
      </c>
      <c r="D279" s="9" t="str">
        <f>IF($B279&gt;Trainingsdaten!$H$3,"",INDEX(Trainingsdaten!B:B,$C279+1))</f>
        <v/>
      </c>
      <c r="E279" s="7" t="str">
        <f>IF($B279&gt;Trainingsdaten!$H$3,"",INDEX(Trainingsdaten!C:C,$C279+1))</f>
        <v/>
      </c>
      <c r="F279" s="7" t="str">
        <f>IF($B279&gt;Trainingsdaten!$H$3,"",INDEX(Trainingsdaten!D:D,$C279+1))</f>
        <v/>
      </c>
      <c r="G279" s="7" t="str">
        <f>IF($B279&gt;Trainingsdaten!$H$3,"",INDEX(Trainingsdaten!E:E,$C279+1))</f>
        <v/>
      </c>
      <c r="H279" s="11" t="str">
        <f>IF($B279&gt;Trainingsdaten!$H$3,"",Trainingsdaten!$H$2)</f>
        <v/>
      </c>
      <c r="I279" s="7" t="str">
        <f>IF(B279&gt;Trainingsdaten!$H$3,"",I278+H279*N278*E279)</f>
        <v/>
      </c>
      <c r="J279" s="7" t="str">
        <f>IF(B279&gt;Trainingsdaten!$H$3,"",J278+H279*N278*F279)</f>
        <v/>
      </c>
      <c r="K279" s="7" t="str">
        <f>IF(B279&gt;Trainingsdaten!$H$3,"",K278+H279*N278)</f>
        <v/>
      </c>
      <c r="L279" s="7" t="str">
        <f>IF(B279&gt;Trainingsdaten!$H$3,"",E279*I279+F279*J279+K279)</f>
        <v/>
      </c>
      <c r="M279" s="7" t="str">
        <f>IF(B279&gt;Trainingsdaten!$H$3,"",IF(L279&gt;0,1,0))</f>
        <v/>
      </c>
      <c r="N279" s="7" t="str">
        <f>IF(B279&gt;Trainingsdaten!$H$3,"",G279-M279)</f>
        <v/>
      </c>
    </row>
    <row r="280" spans="1:14" x14ac:dyDescent="0.25">
      <c r="A280" s="9" t="str">
        <f>IF($B280&gt;Trainingsdaten!$H$3,"",MOD(ROW()-4,Trainingsdaten!$H$4)+1)</f>
        <v/>
      </c>
      <c r="B280" s="11" t="str">
        <f>IF(INT((ROW()-4)/Trainingsdaten!$H$4)+1&gt;Trainingsdaten!$H$3,"",INT((ROW()-4)/Trainingsdaten!$H$4)+1)</f>
        <v/>
      </c>
      <c r="C280" s="9" t="str">
        <f>IF(INT((ROW()-4)/Trainingsdaten!$H$4)+1&gt;Trainingsdaten!$H$3,"",MOD(ROW()-4,Trainingsdaten!$H$4)+1)</f>
        <v/>
      </c>
      <c r="D280" s="9" t="str">
        <f>IF($B280&gt;Trainingsdaten!$H$3,"",INDEX(Trainingsdaten!B:B,$C280+1))</f>
        <v/>
      </c>
      <c r="E280" s="7" t="str">
        <f>IF($B280&gt;Trainingsdaten!$H$3,"",INDEX(Trainingsdaten!C:C,$C280+1))</f>
        <v/>
      </c>
      <c r="F280" s="7" t="str">
        <f>IF($B280&gt;Trainingsdaten!$H$3,"",INDEX(Trainingsdaten!D:D,$C280+1))</f>
        <v/>
      </c>
      <c r="G280" s="7" t="str">
        <f>IF($B280&gt;Trainingsdaten!$H$3,"",INDEX(Trainingsdaten!E:E,$C280+1))</f>
        <v/>
      </c>
      <c r="H280" s="11" t="str">
        <f>IF($B280&gt;Trainingsdaten!$H$3,"",Trainingsdaten!$H$2)</f>
        <v/>
      </c>
      <c r="I280" s="7" t="str">
        <f>IF(B280&gt;Trainingsdaten!$H$3,"",I279+H280*N279*E280)</f>
        <v/>
      </c>
      <c r="J280" s="7" t="str">
        <f>IF(B280&gt;Trainingsdaten!$H$3,"",J279+H280*N279*F280)</f>
        <v/>
      </c>
      <c r="K280" s="7" t="str">
        <f>IF(B280&gt;Trainingsdaten!$H$3,"",K279+H280*N279)</f>
        <v/>
      </c>
      <c r="L280" s="7" t="str">
        <f>IF(B280&gt;Trainingsdaten!$H$3,"",E280*I280+F280*J280+K280)</f>
        <v/>
      </c>
      <c r="M280" s="7" t="str">
        <f>IF(B280&gt;Trainingsdaten!$H$3,"",IF(L280&gt;0,1,0))</f>
        <v/>
      </c>
      <c r="N280" s="7" t="str">
        <f>IF(B280&gt;Trainingsdaten!$H$3,"",G280-M280)</f>
        <v/>
      </c>
    </row>
    <row r="281" spans="1:14" x14ac:dyDescent="0.25">
      <c r="A281" s="9" t="str">
        <f>IF($B281&gt;Trainingsdaten!$H$3,"",MOD(ROW()-4,Trainingsdaten!$H$4)+1)</f>
        <v/>
      </c>
      <c r="B281" s="11" t="str">
        <f>IF(INT((ROW()-4)/Trainingsdaten!$H$4)+1&gt;Trainingsdaten!$H$3,"",INT((ROW()-4)/Trainingsdaten!$H$4)+1)</f>
        <v/>
      </c>
      <c r="C281" s="9" t="str">
        <f>IF(INT((ROW()-4)/Trainingsdaten!$H$4)+1&gt;Trainingsdaten!$H$3,"",MOD(ROW()-4,Trainingsdaten!$H$4)+1)</f>
        <v/>
      </c>
      <c r="D281" s="9" t="str">
        <f>IF($B281&gt;Trainingsdaten!$H$3,"",INDEX(Trainingsdaten!B:B,$C281+1))</f>
        <v/>
      </c>
      <c r="E281" s="7" t="str">
        <f>IF($B281&gt;Trainingsdaten!$H$3,"",INDEX(Trainingsdaten!C:C,$C281+1))</f>
        <v/>
      </c>
      <c r="F281" s="7" t="str">
        <f>IF($B281&gt;Trainingsdaten!$H$3,"",INDEX(Trainingsdaten!D:D,$C281+1))</f>
        <v/>
      </c>
      <c r="G281" s="7" t="str">
        <f>IF($B281&gt;Trainingsdaten!$H$3,"",INDEX(Trainingsdaten!E:E,$C281+1))</f>
        <v/>
      </c>
      <c r="H281" s="11" t="str">
        <f>IF($B281&gt;Trainingsdaten!$H$3,"",Trainingsdaten!$H$2)</f>
        <v/>
      </c>
      <c r="I281" s="7" t="str">
        <f>IF(B281&gt;Trainingsdaten!$H$3,"",I280+H281*N280*E281)</f>
        <v/>
      </c>
      <c r="J281" s="7" t="str">
        <f>IF(B281&gt;Trainingsdaten!$H$3,"",J280+H281*N280*F281)</f>
        <v/>
      </c>
      <c r="K281" s="7" t="str">
        <f>IF(B281&gt;Trainingsdaten!$H$3,"",K280+H281*N280)</f>
        <v/>
      </c>
      <c r="L281" s="7" t="str">
        <f>IF(B281&gt;Trainingsdaten!$H$3,"",E281*I281+F281*J281+K281)</f>
        <v/>
      </c>
      <c r="M281" s="7" t="str">
        <f>IF(B281&gt;Trainingsdaten!$H$3,"",IF(L281&gt;0,1,0))</f>
        <v/>
      </c>
      <c r="N281" s="7" t="str">
        <f>IF(B281&gt;Trainingsdaten!$H$3,"",G281-M281)</f>
        <v/>
      </c>
    </row>
    <row r="282" spans="1:14" x14ac:dyDescent="0.25">
      <c r="A282" s="9" t="str">
        <f>IF($B282&gt;Trainingsdaten!$H$3,"",MOD(ROW()-4,Trainingsdaten!$H$4)+1)</f>
        <v/>
      </c>
      <c r="B282" s="11" t="str">
        <f>IF(INT((ROW()-4)/Trainingsdaten!$H$4)+1&gt;Trainingsdaten!$H$3,"",INT((ROW()-4)/Trainingsdaten!$H$4)+1)</f>
        <v/>
      </c>
      <c r="C282" s="9" t="str">
        <f>IF(INT((ROW()-4)/Trainingsdaten!$H$4)+1&gt;Trainingsdaten!$H$3,"",MOD(ROW()-4,Trainingsdaten!$H$4)+1)</f>
        <v/>
      </c>
      <c r="D282" s="9" t="str">
        <f>IF($B282&gt;Trainingsdaten!$H$3,"",INDEX(Trainingsdaten!B:B,$C282+1))</f>
        <v/>
      </c>
      <c r="E282" s="7" t="str">
        <f>IF($B282&gt;Trainingsdaten!$H$3,"",INDEX(Trainingsdaten!C:C,$C282+1))</f>
        <v/>
      </c>
      <c r="F282" s="7" t="str">
        <f>IF($B282&gt;Trainingsdaten!$H$3,"",INDEX(Trainingsdaten!D:D,$C282+1))</f>
        <v/>
      </c>
      <c r="G282" s="7" t="str">
        <f>IF($B282&gt;Trainingsdaten!$H$3,"",INDEX(Trainingsdaten!E:E,$C282+1))</f>
        <v/>
      </c>
      <c r="H282" s="11" t="str">
        <f>IF($B282&gt;Trainingsdaten!$H$3,"",Trainingsdaten!$H$2)</f>
        <v/>
      </c>
      <c r="I282" s="7" t="str">
        <f>IF(B282&gt;Trainingsdaten!$H$3,"",I281+H282*N281*E282)</f>
        <v/>
      </c>
      <c r="J282" s="7" t="str">
        <f>IF(B282&gt;Trainingsdaten!$H$3,"",J281+H282*N281*F282)</f>
        <v/>
      </c>
      <c r="K282" s="7" t="str">
        <f>IF(B282&gt;Trainingsdaten!$H$3,"",K281+H282*N281)</f>
        <v/>
      </c>
      <c r="L282" s="7" t="str">
        <f>IF(B282&gt;Trainingsdaten!$H$3,"",E282*I282+F282*J282+K282)</f>
        <v/>
      </c>
      <c r="M282" s="7" t="str">
        <f>IF(B282&gt;Trainingsdaten!$H$3,"",IF(L282&gt;0,1,0))</f>
        <v/>
      </c>
      <c r="N282" s="7" t="str">
        <f>IF(B282&gt;Trainingsdaten!$H$3,"",G282-M282)</f>
        <v/>
      </c>
    </row>
    <row r="283" spans="1:14" x14ac:dyDescent="0.25">
      <c r="A283" s="9" t="str">
        <f>IF($B283&gt;Trainingsdaten!$H$3,"",MOD(ROW()-4,Trainingsdaten!$H$4)+1)</f>
        <v/>
      </c>
      <c r="B283" s="11" t="str">
        <f>IF(INT((ROW()-4)/Trainingsdaten!$H$4)+1&gt;Trainingsdaten!$H$3,"",INT((ROW()-4)/Trainingsdaten!$H$4)+1)</f>
        <v/>
      </c>
      <c r="C283" s="9" t="str">
        <f>IF(INT((ROW()-4)/Trainingsdaten!$H$4)+1&gt;Trainingsdaten!$H$3,"",MOD(ROW()-4,Trainingsdaten!$H$4)+1)</f>
        <v/>
      </c>
      <c r="D283" s="9" t="str">
        <f>IF($B283&gt;Trainingsdaten!$H$3,"",INDEX(Trainingsdaten!B:B,$C283+1))</f>
        <v/>
      </c>
      <c r="E283" s="7" t="str">
        <f>IF($B283&gt;Trainingsdaten!$H$3,"",INDEX(Trainingsdaten!C:C,$C283+1))</f>
        <v/>
      </c>
      <c r="F283" s="7" t="str">
        <f>IF($B283&gt;Trainingsdaten!$H$3,"",INDEX(Trainingsdaten!D:D,$C283+1))</f>
        <v/>
      </c>
      <c r="G283" s="7" t="str">
        <f>IF($B283&gt;Trainingsdaten!$H$3,"",INDEX(Trainingsdaten!E:E,$C283+1))</f>
        <v/>
      </c>
      <c r="H283" s="11" t="str">
        <f>IF($B283&gt;Trainingsdaten!$H$3,"",Trainingsdaten!$H$2)</f>
        <v/>
      </c>
      <c r="I283" s="7" t="str">
        <f>IF(B283&gt;Trainingsdaten!$H$3,"",I282+H283*N282*E283)</f>
        <v/>
      </c>
      <c r="J283" s="7" t="str">
        <f>IF(B283&gt;Trainingsdaten!$H$3,"",J282+H283*N282*F283)</f>
        <v/>
      </c>
      <c r="K283" s="7" t="str">
        <f>IF(B283&gt;Trainingsdaten!$H$3,"",K282+H283*N282)</f>
        <v/>
      </c>
      <c r="L283" s="7" t="str">
        <f>IF(B283&gt;Trainingsdaten!$H$3,"",E283*I283+F283*J283+K283)</f>
        <v/>
      </c>
      <c r="M283" s="7" t="str">
        <f>IF(B283&gt;Trainingsdaten!$H$3,"",IF(L283&gt;0,1,0))</f>
        <v/>
      </c>
      <c r="N283" s="7" t="str">
        <f>IF(B283&gt;Trainingsdaten!$H$3,"",G283-M283)</f>
        <v/>
      </c>
    </row>
    <row r="284" spans="1:14" x14ac:dyDescent="0.25">
      <c r="A284" s="9" t="str">
        <f>IF($B284&gt;Trainingsdaten!$H$3,"",MOD(ROW()-4,Trainingsdaten!$H$4)+1)</f>
        <v/>
      </c>
      <c r="B284" s="11" t="str">
        <f>IF(INT((ROW()-4)/Trainingsdaten!$H$4)+1&gt;Trainingsdaten!$H$3,"",INT((ROW()-4)/Trainingsdaten!$H$4)+1)</f>
        <v/>
      </c>
      <c r="C284" s="9" t="str">
        <f>IF(INT((ROW()-4)/Trainingsdaten!$H$4)+1&gt;Trainingsdaten!$H$3,"",MOD(ROW()-4,Trainingsdaten!$H$4)+1)</f>
        <v/>
      </c>
      <c r="D284" s="9" t="str">
        <f>IF($B284&gt;Trainingsdaten!$H$3,"",INDEX(Trainingsdaten!B:B,$C284+1))</f>
        <v/>
      </c>
      <c r="E284" s="7" t="str">
        <f>IF($B284&gt;Trainingsdaten!$H$3,"",INDEX(Trainingsdaten!C:C,$C284+1))</f>
        <v/>
      </c>
      <c r="F284" s="7" t="str">
        <f>IF($B284&gt;Trainingsdaten!$H$3,"",INDEX(Trainingsdaten!D:D,$C284+1))</f>
        <v/>
      </c>
      <c r="G284" s="7" t="str">
        <f>IF($B284&gt;Trainingsdaten!$H$3,"",INDEX(Trainingsdaten!E:E,$C284+1))</f>
        <v/>
      </c>
      <c r="H284" s="11" t="str">
        <f>IF($B284&gt;Trainingsdaten!$H$3,"",Trainingsdaten!$H$2)</f>
        <v/>
      </c>
      <c r="I284" s="7" t="str">
        <f>IF(B284&gt;Trainingsdaten!$H$3,"",I283+H284*N283*E284)</f>
        <v/>
      </c>
      <c r="J284" s="7" t="str">
        <f>IF(B284&gt;Trainingsdaten!$H$3,"",J283+H284*N283*F284)</f>
        <v/>
      </c>
      <c r="K284" s="7" t="str">
        <f>IF(B284&gt;Trainingsdaten!$H$3,"",K283+H284*N283)</f>
        <v/>
      </c>
      <c r="L284" s="7" t="str">
        <f>IF(B284&gt;Trainingsdaten!$H$3,"",E284*I284+F284*J284+K284)</f>
        <v/>
      </c>
      <c r="M284" s="7" t="str">
        <f>IF(B284&gt;Trainingsdaten!$H$3,"",IF(L284&gt;0,1,0))</f>
        <v/>
      </c>
      <c r="N284" s="7" t="str">
        <f>IF(B284&gt;Trainingsdaten!$H$3,"",G284-M284)</f>
        <v/>
      </c>
    </row>
    <row r="285" spans="1:14" x14ac:dyDescent="0.25">
      <c r="A285" s="9" t="str">
        <f>IF($B285&gt;Trainingsdaten!$H$3,"",MOD(ROW()-4,Trainingsdaten!$H$4)+1)</f>
        <v/>
      </c>
      <c r="B285" s="11" t="str">
        <f>IF(INT((ROW()-4)/Trainingsdaten!$H$4)+1&gt;Trainingsdaten!$H$3,"",INT((ROW()-4)/Trainingsdaten!$H$4)+1)</f>
        <v/>
      </c>
      <c r="C285" s="9" t="str">
        <f>IF(INT((ROW()-4)/Trainingsdaten!$H$4)+1&gt;Trainingsdaten!$H$3,"",MOD(ROW()-4,Trainingsdaten!$H$4)+1)</f>
        <v/>
      </c>
      <c r="D285" s="9" t="str">
        <f>IF($B285&gt;Trainingsdaten!$H$3,"",INDEX(Trainingsdaten!B:B,$C285+1))</f>
        <v/>
      </c>
      <c r="E285" s="7" t="str">
        <f>IF($B285&gt;Trainingsdaten!$H$3,"",INDEX(Trainingsdaten!C:C,$C285+1))</f>
        <v/>
      </c>
      <c r="F285" s="7" t="str">
        <f>IF($B285&gt;Trainingsdaten!$H$3,"",INDEX(Trainingsdaten!D:D,$C285+1))</f>
        <v/>
      </c>
      <c r="G285" s="7" t="str">
        <f>IF($B285&gt;Trainingsdaten!$H$3,"",INDEX(Trainingsdaten!E:E,$C285+1))</f>
        <v/>
      </c>
      <c r="H285" s="11" t="str">
        <f>IF($B285&gt;Trainingsdaten!$H$3,"",Trainingsdaten!$H$2)</f>
        <v/>
      </c>
      <c r="I285" s="7" t="str">
        <f>IF(B285&gt;Trainingsdaten!$H$3,"",I284+H285*N284*E285)</f>
        <v/>
      </c>
      <c r="J285" s="7" t="str">
        <f>IF(B285&gt;Trainingsdaten!$H$3,"",J284+H285*N284*F285)</f>
        <v/>
      </c>
      <c r="K285" s="7" t="str">
        <f>IF(B285&gt;Trainingsdaten!$H$3,"",K284+H285*N284)</f>
        <v/>
      </c>
      <c r="L285" s="7" t="str">
        <f>IF(B285&gt;Trainingsdaten!$H$3,"",E285*I285+F285*J285+K285)</f>
        <v/>
      </c>
      <c r="M285" s="7" t="str">
        <f>IF(B285&gt;Trainingsdaten!$H$3,"",IF(L285&gt;0,1,0))</f>
        <v/>
      </c>
      <c r="N285" s="7" t="str">
        <f>IF(B285&gt;Trainingsdaten!$H$3,"",G285-M285)</f>
        <v/>
      </c>
    </row>
    <row r="286" spans="1:14" x14ac:dyDescent="0.25">
      <c r="A286" s="9" t="str">
        <f>IF($B286&gt;Trainingsdaten!$H$3,"",MOD(ROW()-4,Trainingsdaten!$H$4)+1)</f>
        <v/>
      </c>
      <c r="B286" s="11" t="str">
        <f>IF(INT((ROW()-4)/Trainingsdaten!$H$4)+1&gt;Trainingsdaten!$H$3,"",INT((ROW()-4)/Trainingsdaten!$H$4)+1)</f>
        <v/>
      </c>
      <c r="C286" s="9" t="str">
        <f>IF(INT((ROW()-4)/Trainingsdaten!$H$4)+1&gt;Trainingsdaten!$H$3,"",MOD(ROW()-4,Trainingsdaten!$H$4)+1)</f>
        <v/>
      </c>
      <c r="D286" s="9" t="str">
        <f>IF($B286&gt;Trainingsdaten!$H$3,"",INDEX(Trainingsdaten!B:B,$C286+1))</f>
        <v/>
      </c>
      <c r="E286" s="7" t="str">
        <f>IF($B286&gt;Trainingsdaten!$H$3,"",INDEX(Trainingsdaten!C:C,$C286+1))</f>
        <v/>
      </c>
      <c r="F286" s="7" t="str">
        <f>IF($B286&gt;Trainingsdaten!$H$3,"",INDEX(Trainingsdaten!D:D,$C286+1))</f>
        <v/>
      </c>
      <c r="G286" s="7" t="str">
        <f>IF($B286&gt;Trainingsdaten!$H$3,"",INDEX(Trainingsdaten!E:E,$C286+1))</f>
        <v/>
      </c>
      <c r="H286" s="11" t="str">
        <f>IF($B286&gt;Trainingsdaten!$H$3,"",Trainingsdaten!$H$2)</f>
        <v/>
      </c>
      <c r="I286" s="7" t="str">
        <f>IF(B286&gt;Trainingsdaten!$H$3,"",I285+H286*N285*E286)</f>
        <v/>
      </c>
      <c r="J286" s="7" t="str">
        <f>IF(B286&gt;Trainingsdaten!$H$3,"",J285+H286*N285*F286)</f>
        <v/>
      </c>
      <c r="K286" s="7" t="str">
        <f>IF(B286&gt;Trainingsdaten!$H$3,"",K285+H286*N285)</f>
        <v/>
      </c>
      <c r="L286" s="7" t="str">
        <f>IF(B286&gt;Trainingsdaten!$H$3,"",E286*I286+F286*J286+K286)</f>
        <v/>
      </c>
      <c r="M286" s="7" t="str">
        <f>IF(B286&gt;Trainingsdaten!$H$3,"",IF(L286&gt;0,1,0))</f>
        <v/>
      </c>
      <c r="N286" s="7" t="str">
        <f>IF(B286&gt;Trainingsdaten!$H$3,"",G286-M286)</f>
        <v/>
      </c>
    </row>
    <row r="287" spans="1:14" x14ac:dyDescent="0.25">
      <c r="A287" s="9" t="str">
        <f>IF($B287&gt;Trainingsdaten!$H$3,"",MOD(ROW()-4,Trainingsdaten!$H$4)+1)</f>
        <v/>
      </c>
      <c r="B287" s="11" t="str">
        <f>IF(INT((ROW()-4)/Trainingsdaten!$H$4)+1&gt;Trainingsdaten!$H$3,"",INT((ROW()-4)/Trainingsdaten!$H$4)+1)</f>
        <v/>
      </c>
      <c r="C287" s="9" t="str">
        <f>IF(INT((ROW()-4)/Trainingsdaten!$H$4)+1&gt;Trainingsdaten!$H$3,"",MOD(ROW()-4,Trainingsdaten!$H$4)+1)</f>
        <v/>
      </c>
      <c r="D287" s="9" t="str">
        <f>IF($B287&gt;Trainingsdaten!$H$3,"",INDEX(Trainingsdaten!B:B,$C287+1))</f>
        <v/>
      </c>
      <c r="E287" s="7" t="str">
        <f>IF($B287&gt;Trainingsdaten!$H$3,"",INDEX(Trainingsdaten!C:C,$C287+1))</f>
        <v/>
      </c>
      <c r="F287" s="7" t="str">
        <f>IF($B287&gt;Trainingsdaten!$H$3,"",INDEX(Trainingsdaten!D:D,$C287+1))</f>
        <v/>
      </c>
      <c r="G287" s="7" t="str">
        <f>IF($B287&gt;Trainingsdaten!$H$3,"",INDEX(Trainingsdaten!E:E,$C287+1))</f>
        <v/>
      </c>
      <c r="H287" s="11" t="str">
        <f>IF($B287&gt;Trainingsdaten!$H$3,"",Trainingsdaten!$H$2)</f>
        <v/>
      </c>
      <c r="I287" s="7" t="str">
        <f>IF(B287&gt;Trainingsdaten!$H$3,"",I286+H287*N286*E287)</f>
        <v/>
      </c>
      <c r="J287" s="7" t="str">
        <f>IF(B287&gt;Trainingsdaten!$H$3,"",J286+H287*N286*F287)</f>
        <v/>
      </c>
      <c r="K287" s="7" t="str">
        <f>IF(B287&gt;Trainingsdaten!$H$3,"",K286+H287*N286)</f>
        <v/>
      </c>
      <c r="L287" s="7" t="str">
        <f>IF(B287&gt;Trainingsdaten!$H$3,"",E287*I287+F287*J287+K287)</f>
        <v/>
      </c>
      <c r="M287" s="7" t="str">
        <f>IF(B287&gt;Trainingsdaten!$H$3,"",IF(L287&gt;0,1,0))</f>
        <v/>
      </c>
      <c r="N287" s="7" t="str">
        <f>IF(B287&gt;Trainingsdaten!$H$3,"",G287-M287)</f>
        <v/>
      </c>
    </row>
    <row r="288" spans="1:14" x14ac:dyDescent="0.25">
      <c r="A288" s="9" t="str">
        <f>IF($B288&gt;Trainingsdaten!$H$3,"",MOD(ROW()-4,Trainingsdaten!$H$4)+1)</f>
        <v/>
      </c>
      <c r="B288" s="11" t="str">
        <f>IF(INT((ROW()-4)/Trainingsdaten!$H$4)+1&gt;Trainingsdaten!$H$3,"",INT((ROW()-4)/Trainingsdaten!$H$4)+1)</f>
        <v/>
      </c>
      <c r="C288" s="9" t="str">
        <f>IF(INT((ROW()-4)/Trainingsdaten!$H$4)+1&gt;Trainingsdaten!$H$3,"",MOD(ROW()-4,Trainingsdaten!$H$4)+1)</f>
        <v/>
      </c>
      <c r="D288" s="9" t="str">
        <f>IF($B288&gt;Trainingsdaten!$H$3,"",INDEX(Trainingsdaten!B:B,$C288+1))</f>
        <v/>
      </c>
      <c r="E288" s="7" t="str">
        <f>IF($B288&gt;Trainingsdaten!$H$3,"",INDEX(Trainingsdaten!C:C,$C288+1))</f>
        <v/>
      </c>
      <c r="F288" s="7" t="str">
        <f>IF($B288&gt;Trainingsdaten!$H$3,"",INDEX(Trainingsdaten!D:D,$C288+1))</f>
        <v/>
      </c>
      <c r="G288" s="7" t="str">
        <f>IF($B288&gt;Trainingsdaten!$H$3,"",INDEX(Trainingsdaten!E:E,$C288+1))</f>
        <v/>
      </c>
      <c r="H288" s="11" t="str">
        <f>IF($B288&gt;Trainingsdaten!$H$3,"",Trainingsdaten!$H$2)</f>
        <v/>
      </c>
      <c r="I288" s="7" t="str">
        <f>IF(B288&gt;Trainingsdaten!$H$3,"",I287+H288*N287*E288)</f>
        <v/>
      </c>
      <c r="J288" s="7" t="str">
        <f>IF(B288&gt;Trainingsdaten!$H$3,"",J287+H288*N287*F288)</f>
        <v/>
      </c>
      <c r="K288" s="7" t="str">
        <f>IF(B288&gt;Trainingsdaten!$H$3,"",K287+H288*N287)</f>
        <v/>
      </c>
      <c r="L288" s="7" t="str">
        <f>IF(B288&gt;Trainingsdaten!$H$3,"",E288*I288+F288*J288+K288)</f>
        <v/>
      </c>
      <c r="M288" s="7" t="str">
        <f>IF(B288&gt;Trainingsdaten!$H$3,"",IF(L288&gt;0,1,0))</f>
        <v/>
      </c>
      <c r="N288" s="7" t="str">
        <f>IF(B288&gt;Trainingsdaten!$H$3,"",G288-M288)</f>
        <v/>
      </c>
    </row>
    <row r="289" spans="1:14" x14ac:dyDescent="0.25">
      <c r="A289" s="9" t="str">
        <f>IF($B289&gt;Trainingsdaten!$H$3,"",MOD(ROW()-4,Trainingsdaten!$H$4)+1)</f>
        <v/>
      </c>
      <c r="B289" s="11" t="str">
        <f>IF(INT((ROW()-4)/Trainingsdaten!$H$4)+1&gt;Trainingsdaten!$H$3,"",INT((ROW()-4)/Trainingsdaten!$H$4)+1)</f>
        <v/>
      </c>
      <c r="C289" s="9" t="str">
        <f>IF(INT((ROW()-4)/Trainingsdaten!$H$4)+1&gt;Trainingsdaten!$H$3,"",MOD(ROW()-4,Trainingsdaten!$H$4)+1)</f>
        <v/>
      </c>
      <c r="D289" s="9" t="str">
        <f>IF($B289&gt;Trainingsdaten!$H$3,"",INDEX(Trainingsdaten!B:B,$C289+1))</f>
        <v/>
      </c>
      <c r="E289" s="7" t="str">
        <f>IF($B289&gt;Trainingsdaten!$H$3,"",INDEX(Trainingsdaten!C:C,$C289+1))</f>
        <v/>
      </c>
      <c r="F289" s="7" t="str">
        <f>IF($B289&gt;Trainingsdaten!$H$3,"",INDEX(Trainingsdaten!D:D,$C289+1))</f>
        <v/>
      </c>
      <c r="G289" s="7" t="str">
        <f>IF($B289&gt;Trainingsdaten!$H$3,"",INDEX(Trainingsdaten!E:E,$C289+1))</f>
        <v/>
      </c>
      <c r="H289" s="11" t="str">
        <f>IF($B289&gt;Trainingsdaten!$H$3,"",Trainingsdaten!$H$2)</f>
        <v/>
      </c>
      <c r="I289" s="7" t="str">
        <f>IF(B289&gt;Trainingsdaten!$H$3,"",I288+H289*N288*E289)</f>
        <v/>
      </c>
      <c r="J289" s="7" t="str">
        <f>IF(B289&gt;Trainingsdaten!$H$3,"",J288+H289*N288*F289)</f>
        <v/>
      </c>
      <c r="K289" s="7" t="str">
        <f>IF(B289&gt;Trainingsdaten!$H$3,"",K288+H289*N288)</f>
        <v/>
      </c>
      <c r="L289" s="7" t="str">
        <f>IF(B289&gt;Trainingsdaten!$H$3,"",E289*I289+F289*J289+K289)</f>
        <v/>
      </c>
      <c r="M289" s="7" t="str">
        <f>IF(B289&gt;Trainingsdaten!$H$3,"",IF(L289&gt;0,1,0))</f>
        <v/>
      </c>
      <c r="N289" s="7" t="str">
        <f>IF(B289&gt;Trainingsdaten!$H$3,"",G289-M289)</f>
        <v/>
      </c>
    </row>
    <row r="290" spans="1:14" x14ac:dyDescent="0.25">
      <c r="A290" s="9" t="str">
        <f>IF($B290&gt;Trainingsdaten!$H$3,"",MOD(ROW()-4,Trainingsdaten!$H$4)+1)</f>
        <v/>
      </c>
      <c r="B290" s="11" t="str">
        <f>IF(INT((ROW()-4)/Trainingsdaten!$H$4)+1&gt;Trainingsdaten!$H$3,"",INT((ROW()-4)/Trainingsdaten!$H$4)+1)</f>
        <v/>
      </c>
      <c r="C290" s="9" t="str">
        <f>IF(INT((ROW()-4)/Trainingsdaten!$H$4)+1&gt;Trainingsdaten!$H$3,"",MOD(ROW()-4,Trainingsdaten!$H$4)+1)</f>
        <v/>
      </c>
      <c r="D290" s="9" t="str">
        <f>IF($B290&gt;Trainingsdaten!$H$3,"",INDEX(Trainingsdaten!B:B,$C290+1))</f>
        <v/>
      </c>
      <c r="E290" s="7" t="str">
        <f>IF($B290&gt;Trainingsdaten!$H$3,"",INDEX(Trainingsdaten!C:C,$C290+1))</f>
        <v/>
      </c>
      <c r="F290" s="7" t="str">
        <f>IF($B290&gt;Trainingsdaten!$H$3,"",INDEX(Trainingsdaten!D:D,$C290+1))</f>
        <v/>
      </c>
      <c r="G290" s="7" t="str">
        <f>IF($B290&gt;Trainingsdaten!$H$3,"",INDEX(Trainingsdaten!E:E,$C290+1))</f>
        <v/>
      </c>
      <c r="H290" s="11" t="str">
        <f>IF($B290&gt;Trainingsdaten!$H$3,"",Trainingsdaten!$H$2)</f>
        <v/>
      </c>
      <c r="I290" s="7" t="str">
        <f>IF(B290&gt;Trainingsdaten!$H$3,"",I289+H290*N289*E290)</f>
        <v/>
      </c>
      <c r="J290" s="7" t="str">
        <f>IF(B290&gt;Trainingsdaten!$H$3,"",J289+H290*N289*F290)</f>
        <v/>
      </c>
      <c r="K290" s="7" t="str">
        <f>IF(B290&gt;Trainingsdaten!$H$3,"",K289+H290*N289)</f>
        <v/>
      </c>
      <c r="L290" s="7" t="str">
        <f>IF(B290&gt;Trainingsdaten!$H$3,"",E290*I290+F290*J290+K290)</f>
        <v/>
      </c>
      <c r="M290" s="7" t="str">
        <f>IF(B290&gt;Trainingsdaten!$H$3,"",IF(L290&gt;0,1,0))</f>
        <v/>
      </c>
      <c r="N290" s="7" t="str">
        <f>IF(B290&gt;Trainingsdaten!$H$3,"",G290-M290)</f>
        <v/>
      </c>
    </row>
    <row r="291" spans="1:14" x14ac:dyDescent="0.25">
      <c r="A291" s="9" t="str">
        <f>IF($B291&gt;Trainingsdaten!$H$3,"",MOD(ROW()-4,Trainingsdaten!$H$4)+1)</f>
        <v/>
      </c>
      <c r="B291" s="11" t="str">
        <f>IF(INT((ROW()-4)/Trainingsdaten!$H$4)+1&gt;Trainingsdaten!$H$3,"",INT((ROW()-4)/Trainingsdaten!$H$4)+1)</f>
        <v/>
      </c>
      <c r="C291" s="9" t="str">
        <f>IF(INT((ROW()-4)/Trainingsdaten!$H$4)+1&gt;Trainingsdaten!$H$3,"",MOD(ROW()-4,Trainingsdaten!$H$4)+1)</f>
        <v/>
      </c>
      <c r="D291" s="9" t="str">
        <f>IF($B291&gt;Trainingsdaten!$H$3,"",INDEX(Trainingsdaten!B:B,$C291+1))</f>
        <v/>
      </c>
      <c r="E291" s="7" t="str">
        <f>IF($B291&gt;Trainingsdaten!$H$3,"",INDEX(Trainingsdaten!C:C,$C291+1))</f>
        <v/>
      </c>
      <c r="F291" s="7" t="str">
        <f>IF($B291&gt;Trainingsdaten!$H$3,"",INDEX(Trainingsdaten!D:D,$C291+1))</f>
        <v/>
      </c>
      <c r="G291" s="7" t="str">
        <f>IF($B291&gt;Trainingsdaten!$H$3,"",INDEX(Trainingsdaten!E:E,$C291+1))</f>
        <v/>
      </c>
      <c r="H291" s="11" t="str">
        <f>IF($B291&gt;Trainingsdaten!$H$3,"",Trainingsdaten!$H$2)</f>
        <v/>
      </c>
      <c r="I291" s="7" t="str">
        <f>IF(B291&gt;Trainingsdaten!$H$3,"",I290+H291*N290*E291)</f>
        <v/>
      </c>
      <c r="J291" s="7" t="str">
        <f>IF(B291&gt;Trainingsdaten!$H$3,"",J290+H291*N290*F291)</f>
        <v/>
      </c>
      <c r="K291" s="7" t="str">
        <f>IF(B291&gt;Trainingsdaten!$H$3,"",K290+H291*N290)</f>
        <v/>
      </c>
      <c r="L291" s="7" t="str">
        <f>IF(B291&gt;Trainingsdaten!$H$3,"",E291*I291+F291*J291+K291)</f>
        <v/>
      </c>
      <c r="M291" s="7" t="str">
        <f>IF(B291&gt;Trainingsdaten!$H$3,"",IF(L291&gt;0,1,0))</f>
        <v/>
      </c>
      <c r="N291" s="7" t="str">
        <f>IF(B291&gt;Trainingsdaten!$H$3,"",G291-M291)</f>
        <v/>
      </c>
    </row>
    <row r="292" spans="1:14" x14ac:dyDescent="0.25">
      <c r="A292" s="9" t="str">
        <f>IF($B292&gt;Trainingsdaten!$H$3,"",MOD(ROW()-4,Trainingsdaten!$H$4)+1)</f>
        <v/>
      </c>
      <c r="B292" s="11" t="str">
        <f>IF(INT((ROW()-4)/Trainingsdaten!$H$4)+1&gt;Trainingsdaten!$H$3,"",INT((ROW()-4)/Trainingsdaten!$H$4)+1)</f>
        <v/>
      </c>
      <c r="C292" s="9" t="str">
        <f>IF(INT((ROW()-4)/Trainingsdaten!$H$4)+1&gt;Trainingsdaten!$H$3,"",MOD(ROW()-4,Trainingsdaten!$H$4)+1)</f>
        <v/>
      </c>
      <c r="D292" s="9" t="str">
        <f>IF($B292&gt;Trainingsdaten!$H$3,"",INDEX(Trainingsdaten!B:B,$C292+1))</f>
        <v/>
      </c>
      <c r="E292" s="7" t="str">
        <f>IF($B292&gt;Trainingsdaten!$H$3,"",INDEX(Trainingsdaten!C:C,$C292+1))</f>
        <v/>
      </c>
      <c r="F292" s="7" t="str">
        <f>IF($B292&gt;Trainingsdaten!$H$3,"",INDEX(Trainingsdaten!D:D,$C292+1))</f>
        <v/>
      </c>
      <c r="G292" s="7" t="str">
        <f>IF($B292&gt;Trainingsdaten!$H$3,"",INDEX(Trainingsdaten!E:E,$C292+1))</f>
        <v/>
      </c>
      <c r="H292" s="11" t="str">
        <f>IF($B292&gt;Trainingsdaten!$H$3,"",Trainingsdaten!$H$2)</f>
        <v/>
      </c>
      <c r="I292" s="7" t="str">
        <f>IF(B292&gt;Trainingsdaten!$H$3,"",I291+H292*N291*E292)</f>
        <v/>
      </c>
      <c r="J292" s="7" t="str">
        <f>IF(B292&gt;Trainingsdaten!$H$3,"",J291+H292*N291*F292)</f>
        <v/>
      </c>
      <c r="K292" s="7" t="str">
        <f>IF(B292&gt;Trainingsdaten!$H$3,"",K291+H292*N291)</f>
        <v/>
      </c>
      <c r="L292" s="7" t="str">
        <f>IF(B292&gt;Trainingsdaten!$H$3,"",E292*I292+F292*J292+K292)</f>
        <v/>
      </c>
      <c r="M292" s="7" t="str">
        <f>IF(B292&gt;Trainingsdaten!$H$3,"",IF(L292&gt;0,1,0))</f>
        <v/>
      </c>
      <c r="N292" s="7" t="str">
        <f>IF(B292&gt;Trainingsdaten!$H$3,"",G292-M292)</f>
        <v/>
      </c>
    </row>
    <row r="293" spans="1:14" x14ac:dyDescent="0.25">
      <c r="A293" s="9" t="str">
        <f>IF($B293&gt;Trainingsdaten!$H$3,"",MOD(ROW()-4,Trainingsdaten!$H$4)+1)</f>
        <v/>
      </c>
      <c r="B293" s="11" t="str">
        <f>IF(INT((ROW()-4)/Trainingsdaten!$H$4)+1&gt;Trainingsdaten!$H$3,"",INT((ROW()-4)/Trainingsdaten!$H$4)+1)</f>
        <v/>
      </c>
      <c r="C293" s="9" t="str">
        <f>IF(INT((ROW()-4)/Trainingsdaten!$H$4)+1&gt;Trainingsdaten!$H$3,"",MOD(ROW()-4,Trainingsdaten!$H$4)+1)</f>
        <v/>
      </c>
      <c r="D293" s="9" t="str">
        <f>IF($B293&gt;Trainingsdaten!$H$3,"",INDEX(Trainingsdaten!B:B,$C293+1))</f>
        <v/>
      </c>
      <c r="E293" s="7" t="str">
        <f>IF($B293&gt;Trainingsdaten!$H$3,"",INDEX(Trainingsdaten!C:C,$C293+1))</f>
        <v/>
      </c>
      <c r="F293" s="7" t="str">
        <f>IF($B293&gt;Trainingsdaten!$H$3,"",INDEX(Trainingsdaten!D:D,$C293+1))</f>
        <v/>
      </c>
      <c r="G293" s="7" t="str">
        <f>IF($B293&gt;Trainingsdaten!$H$3,"",INDEX(Trainingsdaten!E:E,$C293+1))</f>
        <v/>
      </c>
      <c r="H293" s="11" t="str">
        <f>IF($B293&gt;Trainingsdaten!$H$3,"",Trainingsdaten!$H$2)</f>
        <v/>
      </c>
      <c r="I293" s="7" t="str">
        <f>IF(B293&gt;Trainingsdaten!$H$3,"",I292+H293*N292*E293)</f>
        <v/>
      </c>
      <c r="J293" s="7" t="str">
        <f>IF(B293&gt;Trainingsdaten!$H$3,"",J292+H293*N292*F293)</f>
        <v/>
      </c>
      <c r="K293" s="7" t="str">
        <f>IF(B293&gt;Trainingsdaten!$H$3,"",K292+H293*N292)</f>
        <v/>
      </c>
      <c r="L293" s="7" t="str">
        <f>IF(B293&gt;Trainingsdaten!$H$3,"",E293*I293+F293*J293+K293)</f>
        <v/>
      </c>
      <c r="M293" s="7" t="str">
        <f>IF(B293&gt;Trainingsdaten!$H$3,"",IF(L293&gt;0,1,0))</f>
        <v/>
      </c>
      <c r="N293" s="7" t="str">
        <f>IF(B293&gt;Trainingsdaten!$H$3,"",G293-M293)</f>
        <v/>
      </c>
    </row>
    <row r="294" spans="1:14" x14ac:dyDescent="0.25">
      <c r="A294" s="9" t="str">
        <f>IF($B294&gt;Trainingsdaten!$H$3,"",MOD(ROW()-4,Trainingsdaten!$H$4)+1)</f>
        <v/>
      </c>
      <c r="B294" s="11" t="str">
        <f>IF(INT((ROW()-4)/Trainingsdaten!$H$4)+1&gt;Trainingsdaten!$H$3,"",INT((ROW()-4)/Trainingsdaten!$H$4)+1)</f>
        <v/>
      </c>
      <c r="C294" s="9" t="str">
        <f>IF(INT((ROW()-4)/Trainingsdaten!$H$4)+1&gt;Trainingsdaten!$H$3,"",MOD(ROW()-4,Trainingsdaten!$H$4)+1)</f>
        <v/>
      </c>
      <c r="D294" s="9" t="str">
        <f>IF($B294&gt;Trainingsdaten!$H$3,"",INDEX(Trainingsdaten!B:B,$C294+1))</f>
        <v/>
      </c>
      <c r="E294" s="7" t="str">
        <f>IF($B294&gt;Trainingsdaten!$H$3,"",INDEX(Trainingsdaten!C:C,$C294+1))</f>
        <v/>
      </c>
      <c r="F294" s="7" t="str">
        <f>IF($B294&gt;Trainingsdaten!$H$3,"",INDEX(Trainingsdaten!D:D,$C294+1))</f>
        <v/>
      </c>
      <c r="G294" s="7" t="str">
        <f>IF($B294&gt;Trainingsdaten!$H$3,"",INDEX(Trainingsdaten!E:E,$C294+1))</f>
        <v/>
      </c>
      <c r="H294" s="11" t="str">
        <f>IF($B294&gt;Trainingsdaten!$H$3,"",Trainingsdaten!$H$2)</f>
        <v/>
      </c>
      <c r="I294" s="7" t="str">
        <f>IF(B294&gt;Trainingsdaten!$H$3,"",I293+H294*N293*E294)</f>
        <v/>
      </c>
      <c r="J294" s="7" t="str">
        <f>IF(B294&gt;Trainingsdaten!$H$3,"",J293+H294*N293*F294)</f>
        <v/>
      </c>
      <c r="K294" s="7" t="str">
        <f>IF(B294&gt;Trainingsdaten!$H$3,"",K293+H294*N293)</f>
        <v/>
      </c>
      <c r="L294" s="7" t="str">
        <f>IF(B294&gt;Trainingsdaten!$H$3,"",E294*I294+F294*J294+K294)</f>
        <v/>
      </c>
      <c r="M294" s="7" t="str">
        <f>IF(B294&gt;Trainingsdaten!$H$3,"",IF(L294&gt;0,1,0))</f>
        <v/>
      </c>
      <c r="N294" s="7" t="str">
        <f>IF(B294&gt;Trainingsdaten!$H$3,"",G294-M294)</f>
        <v/>
      </c>
    </row>
    <row r="295" spans="1:14" x14ac:dyDescent="0.25">
      <c r="A295" s="9" t="str">
        <f>IF($B295&gt;Trainingsdaten!$H$3,"",MOD(ROW()-4,Trainingsdaten!$H$4)+1)</f>
        <v/>
      </c>
      <c r="B295" s="11" t="str">
        <f>IF(INT((ROW()-4)/Trainingsdaten!$H$4)+1&gt;Trainingsdaten!$H$3,"",INT((ROW()-4)/Trainingsdaten!$H$4)+1)</f>
        <v/>
      </c>
      <c r="C295" s="9" t="str">
        <f>IF(INT((ROW()-4)/Trainingsdaten!$H$4)+1&gt;Trainingsdaten!$H$3,"",MOD(ROW()-4,Trainingsdaten!$H$4)+1)</f>
        <v/>
      </c>
      <c r="D295" s="9" t="str">
        <f>IF($B295&gt;Trainingsdaten!$H$3,"",INDEX(Trainingsdaten!B:B,$C295+1))</f>
        <v/>
      </c>
      <c r="E295" s="7" t="str">
        <f>IF($B295&gt;Trainingsdaten!$H$3,"",INDEX(Trainingsdaten!C:C,$C295+1))</f>
        <v/>
      </c>
      <c r="F295" s="7" t="str">
        <f>IF($B295&gt;Trainingsdaten!$H$3,"",INDEX(Trainingsdaten!D:D,$C295+1))</f>
        <v/>
      </c>
      <c r="G295" s="7" t="str">
        <f>IF($B295&gt;Trainingsdaten!$H$3,"",INDEX(Trainingsdaten!E:E,$C295+1))</f>
        <v/>
      </c>
      <c r="H295" s="11" t="str">
        <f>IF($B295&gt;Trainingsdaten!$H$3,"",Trainingsdaten!$H$2)</f>
        <v/>
      </c>
      <c r="I295" s="7" t="str">
        <f>IF(B295&gt;Trainingsdaten!$H$3,"",I294+H295*N294*E295)</f>
        <v/>
      </c>
      <c r="J295" s="7" t="str">
        <f>IF(B295&gt;Trainingsdaten!$H$3,"",J294+H295*N294*F295)</f>
        <v/>
      </c>
      <c r="K295" s="7" t="str">
        <f>IF(B295&gt;Trainingsdaten!$H$3,"",K294+H295*N294)</f>
        <v/>
      </c>
      <c r="L295" s="7" t="str">
        <f>IF(B295&gt;Trainingsdaten!$H$3,"",E295*I295+F295*J295+K295)</f>
        <v/>
      </c>
      <c r="M295" s="7" t="str">
        <f>IF(B295&gt;Trainingsdaten!$H$3,"",IF(L295&gt;0,1,0))</f>
        <v/>
      </c>
      <c r="N295" s="7" t="str">
        <f>IF(B295&gt;Trainingsdaten!$H$3,"",G295-M295)</f>
        <v/>
      </c>
    </row>
    <row r="296" spans="1:14" x14ac:dyDescent="0.25">
      <c r="A296" s="9" t="str">
        <f>IF($B296&gt;Trainingsdaten!$H$3,"",MOD(ROW()-4,Trainingsdaten!$H$4)+1)</f>
        <v/>
      </c>
      <c r="B296" s="11" t="str">
        <f>IF(INT((ROW()-4)/Trainingsdaten!$H$4)+1&gt;Trainingsdaten!$H$3,"",INT((ROW()-4)/Trainingsdaten!$H$4)+1)</f>
        <v/>
      </c>
      <c r="C296" s="9" t="str">
        <f>IF(INT((ROW()-4)/Trainingsdaten!$H$4)+1&gt;Trainingsdaten!$H$3,"",MOD(ROW()-4,Trainingsdaten!$H$4)+1)</f>
        <v/>
      </c>
      <c r="D296" s="9" t="str">
        <f>IF($B296&gt;Trainingsdaten!$H$3,"",INDEX(Trainingsdaten!B:B,$C296+1))</f>
        <v/>
      </c>
      <c r="E296" s="7" t="str">
        <f>IF($B296&gt;Trainingsdaten!$H$3,"",INDEX(Trainingsdaten!C:C,$C296+1))</f>
        <v/>
      </c>
      <c r="F296" s="7" t="str">
        <f>IF($B296&gt;Trainingsdaten!$H$3,"",INDEX(Trainingsdaten!D:D,$C296+1))</f>
        <v/>
      </c>
      <c r="G296" s="7" t="str">
        <f>IF($B296&gt;Trainingsdaten!$H$3,"",INDEX(Trainingsdaten!E:E,$C296+1))</f>
        <v/>
      </c>
      <c r="H296" s="11" t="str">
        <f>IF($B296&gt;Trainingsdaten!$H$3,"",Trainingsdaten!$H$2)</f>
        <v/>
      </c>
      <c r="I296" s="7" t="str">
        <f>IF(B296&gt;Trainingsdaten!$H$3,"",I295+H296*N295*E296)</f>
        <v/>
      </c>
      <c r="J296" s="7" t="str">
        <f>IF(B296&gt;Trainingsdaten!$H$3,"",J295+H296*N295*F296)</f>
        <v/>
      </c>
      <c r="K296" s="7" t="str">
        <f>IF(B296&gt;Trainingsdaten!$H$3,"",K295+H296*N295)</f>
        <v/>
      </c>
      <c r="L296" s="7" t="str">
        <f>IF(B296&gt;Trainingsdaten!$H$3,"",E296*I296+F296*J296+K296)</f>
        <v/>
      </c>
      <c r="M296" s="7" t="str">
        <f>IF(B296&gt;Trainingsdaten!$H$3,"",IF(L296&gt;0,1,0))</f>
        <v/>
      </c>
      <c r="N296" s="7" t="str">
        <f>IF(B296&gt;Trainingsdaten!$H$3,"",G296-M296)</f>
        <v/>
      </c>
    </row>
    <row r="297" spans="1:14" x14ac:dyDescent="0.25">
      <c r="A297" s="9" t="str">
        <f>IF($B297&gt;Trainingsdaten!$H$3,"",MOD(ROW()-4,Trainingsdaten!$H$4)+1)</f>
        <v/>
      </c>
      <c r="B297" s="11" t="str">
        <f>IF(INT((ROW()-4)/Trainingsdaten!$H$4)+1&gt;Trainingsdaten!$H$3,"",INT((ROW()-4)/Trainingsdaten!$H$4)+1)</f>
        <v/>
      </c>
      <c r="C297" s="9" t="str">
        <f>IF(INT((ROW()-4)/Trainingsdaten!$H$4)+1&gt;Trainingsdaten!$H$3,"",MOD(ROW()-4,Trainingsdaten!$H$4)+1)</f>
        <v/>
      </c>
      <c r="D297" s="9" t="str">
        <f>IF($B297&gt;Trainingsdaten!$H$3,"",INDEX(Trainingsdaten!B:B,$C297+1))</f>
        <v/>
      </c>
      <c r="E297" s="7" t="str">
        <f>IF($B297&gt;Trainingsdaten!$H$3,"",INDEX(Trainingsdaten!C:C,$C297+1))</f>
        <v/>
      </c>
      <c r="F297" s="7" t="str">
        <f>IF($B297&gt;Trainingsdaten!$H$3,"",INDEX(Trainingsdaten!D:D,$C297+1))</f>
        <v/>
      </c>
      <c r="G297" s="7" t="str">
        <f>IF($B297&gt;Trainingsdaten!$H$3,"",INDEX(Trainingsdaten!E:E,$C297+1))</f>
        <v/>
      </c>
      <c r="H297" s="11" t="str">
        <f>IF($B297&gt;Trainingsdaten!$H$3,"",Trainingsdaten!$H$2)</f>
        <v/>
      </c>
      <c r="I297" s="7" t="str">
        <f>IF(B297&gt;Trainingsdaten!$H$3,"",I296+H297*N296*E297)</f>
        <v/>
      </c>
      <c r="J297" s="7" t="str">
        <f>IF(B297&gt;Trainingsdaten!$H$3,"",J296+H297*N296*F297)</f>
        <v/>
      </c>
      <c r="K297" s="7" t="str">
        <f>IF(B297&gt;Trainingsdaten!$H$3,"",K296+H297*N296)</f>
        <v/>
      </c>
      <c r="L297" s="7" t="str">
        <f>IF(B297&gt;Trainingsdaten!$H$3,"",E297*I297+F297*J297+K297)</f>
        <v/>
      </c>
      <c r="M297" s="7" t="str">
        <f>IF(B297&gt;Trainingsdaten!$H$3,"",IF(L297&gt;0,1,0))</f>
        <v/>
      </c>
      <c r="N297" s="7" t="str">
        <f>IF(B297&gt;Trainingsdaten!$H$3,"",G297-M297)</f>
        <v/>
      </c>
    </row>
    <row r="298" spans="1:14" x14ac:dyDescent="0.25">
      <c r="A298" s="9" t="str">
        <f>IF($B298&gt;Trainingsdaten!$H$3,"",MOD(ROW()-4,Trainingsdaten!$H$4)+1)</f>
        <v/>
      </c>
      <c r="B298" s="11" t="str">
        <f>IF(INT((ROW()-4)/Trainingsdaten!$H$4)+1&gt;Trainingsdaten!$H$3,"",INT((ROW()-4)/Trainingsdaten!$H$4)+1)</f>
        <v/>
      </c>
      <c r="C298" s="9" t="str">
        <f>IF(INT((ROW()-4)/Trainingsdaten!$H$4)+1&gt;Trainingsdaten!$H$3,"",MOD(ROW()-4,Trainingsdaten!$H$4)+1)</f>
        <v/>
      </c>
      <c r="D298" s="9" t="str">
        <f>IF($B298&gt;Trainingsdaten!$H$3,"",INDEX(Trainingsdaten!B:B,$C298+1))</f>
        <v/>
      </c>
      <c r="E298" s="7" t="str">
        <f>IF($B298&gt;Trainingsdaten!$H$3,"",INDEX(Trainingsdaten!C:C,$C298+1))</f>
        <v/>
      </c>
      <c r="F298" s="7" t="str">
        <f>IF($B298&gt;Trainingsdaten!$H$3,"",INDEX(Trainingsdaten!D:D,$C298+1))</f>
        <v/>
      </c>
      <c r="G298" s="7" t="str">
        <f>IF($B298&gt;Trainingsdaten!$H$3,"",INDEX(Trainingsdaten!E:E,$C298+1))</f>
        <v/>
      </c>
      <c r="H298" s="11" t="str">
        <f>IF($B298&gt;Trainingsdaten!$H$3,"",Trainingsdaten!$H$2)</f>
        <v/>
      </c>
      <c r="I298" s="7" t="str">
        <f>IF(B298&gt;Trainingsdaten!$H$3,"",I297+H298*N297*E298)</f>
        <v/>
      </c>
      <c r="J298" s="7" t="str">
        <f>IF(B298&gt;Trainingsdaten!$H$3,"",J297+H298*N297*F298)</f>
        <v/>
      </c>
      <c r="K298" s="7" t="str">
        <f>IF(B298&gt;Trainingsdaten!$H$3,"",K297+H298*N297)</f>
        <v/>
      </c>
      <c r="L298" s="7" t="str">
        <f>IF(B298&gt;Trainingsdaten!$H$3,"",E298*I298+F298*J298+K298)</f>
        <v/>
      </c>
      <c r="M298" s="7" t="str">
        <f>IF(B298&gt;Trainingsdaten!$H$3,"",IF(L298&gt;0,1,0))</f>
        <v/>
      </c>
      <c r="N298" s="7" t="str">
        <f>IF(B298&gt;Trainingsdaten!$H$3,"",G298-M298)</f>
        <v/>
      </c>
    </row>
    <row r="299" spans="1:14" x14ac:dyDescent="0.25">
      <c r="A299" s="9" t="str">
        <f>IF($B299&gt;Trainingsdaten!$H$3,"",MOD(ROW()-4,Trainingsdaten!$H$4)+1)</f>
        <v/>
      </c>
      <c r="B299" s="11" t="str">
        <f>IF(INT((ROW()-4)/Trainingsdaten!$H$4)+1&gt;Trainingsdaten!$H$3,"",INT((ROW()-4)/Trainingsdaten!$H$4)+1)</f>
        <v/>
      </c>
      <c r="C299" s="9" t="str">
        <f>IF(INT((ROW()-4)/Trainingsdaten!$H$4)+1&gt;Trainingsdaten!$H$3,"",MOD(ROW()-4,Trainingsdaten!$H$4)+1)</f>
        <v/>
      </c>
      <c r="D299" s="9" t="str">
        <f>IF($B299&gt;Trainingsdaten!$H$3,"",INDEX(Trainingsdaten!B:B,$C299+1))</f>
        <v/>
      </c>
      <c r="E299" s="7" t="str">
        <f>IF($B299&gt;Trainingsdaten!$H$3,"",INDEX(Trainingsdaten!C:C,$C299+1))</f>
        <v/>
      </c>
      <c r="F299" s="7" t="str">
        <f>IF($B299&gt;Trainingsdaten!$H$3,"",INDEX(Trainingsdaten!D:D,$C299+1))</f>
        <v/>
      </c>
      <c r="G299" s="7" t="str">
        <f>IF($B299&gt;Trainingsdaten!$H$3,"",INDEX(Trainingsdaten!E:E,$C299+1))</f>
        <v/>
      </c>
      <c r="H299" s="11" t="str">
        <f>IF($B299&gt;Trainingsdaten!$H$3,"",Trainingsdaten!$H$2)</f>
        <v/>
      </c>
      <c r="I299" s="7" t="str">
        <f>IF(B299&gt;Trainingsdaten!$H$3,"",I298+H299*N298*E299)</f>
        <v/>
      </c>
      <c r="J299" s="7" t="str">
        <f>IF(B299&gt;Trainingsdaten!$H$3,"",J298+H299*N298*F299)</f>
        <v/>
      </c>
      <c r="K299" s="7" t="str">
        <f>IF(B299&gt;Trainingsdaten!$H$3,"",K298+H299*N298)</f>
        <v/>
      </c>
      <c r="L299" s="7" t="str">
        <f>IF(B299&gt;Trainingsdaten!$H$3,"",E299*I299+F299*J299+K299)</f>
        <v/>
      </c>
      <c r="M299" s="7" t="str">
        <f>IF(B299&gt;Trainingsdaten!$H$3,"",IF(L299&gt;0,1,0))</f>
        <v/>
      </c>
      <c r="N299" s="7" t="str">
        <f>IF(B299&gt;Trainingsdaten!$H$3,"",G299-M299)</f>
        <v/>
      </c>
    </row>
    <row r="300" spans="1:14" x14ac:dyDescent="0.25">
      <c r="A300" s="9" t="str">
        <f>IF($B300&gt;Trainingsdaten!$H$3,"",MOD(ROW()-4,Trainingsdaten!$H$4)+1)</f>
        <v/>
      </c>
      <c r="B300" s="11" t="str">
        <f>IF(INT((ROW()-4)/Trainingsdaten!$H$4)+1&gt;Trainingsdaten!$H$3,"",INT((ROW()-4)/Trainingsdaten!$H$4)+1)</f>
        <v/>
      </c>
      <c r="C300" s="9" t="str">
        <f>IF(INT((ROW()-4)/Trainingsdaten!$H$4)+1&gt;Trainingsdaten!$H$3,"",MOD(ROW()-4,Trainingsdaten!$H$4)+1)</f>
        <v/>
      </c>
      <c r="D300" s="9" t="str">
        <f>IF($B300&gt;Trainingsdaten!$H$3,"",INDEX(Trainingsdaten!B:B,$C300+1))</f>
        <v/>
      </c>
      <c r="E300" s="7" t="str">
        <f>IF($B300&gt;Trainingsdaten!$H$3,"",INDEX(Trainingsdaten!C:C,$C300+1))</f>
        <v/>
      </c>
      <c r="F300" s="7" t="str">
        <f>IF($B300&gt;Trainingsdaten!$H$3,"",INDEX(Trainingsdaten!D:D,$C300+1))</f>
        <v/>
      </c>
      <c r="G300" s="7" t="str">
        <f>IF($B300&gt;Trainingsdaten!$H$3,"",INDEX(Trainingsdaten!E:E,$C300+1))</f>
        <v/>
      </c>
      <c r="H300" s="11" t="str">
        <f>IF($B300&gt;Trainingsdaten!$H$3,"",Trainingsdaten!$H$2)</f>
        <v/>
      </c>
      <c r="I300" s="7" t="str">
        <f>IF(B300&gt;Trainingsdaten!$H$3,"",I299+H300*N299*E300)</f>
        <v/>
      </c>
      <c r="J300" s="7" t="str">
        <f>IF(B300&gt;Trainingsdaten!$H$3,"",J299+H300*N299*F300)</f>
        <v/>
      </c>
      <c r="K300" s="7" t="str">
        <f>IF(B300&gt;Trainingsdaten!$H$3,"",K299+H300*N299)</f>
        <v/>
      </c>
      <c r="L300" s="7" t="str">
        <f>IF(B300&gt;Trainingsdaten!$H$3,"",E300*I300+F300*J300+K300)</f>
        <v/>
      </c>
      <c r="M300" s="7" t="str">
        <f>IF(B300&gt;Trainingsdaten!$H$3,"",IF(L300&gt;0,1,0))</f>
        <v/>
      </c>
      <c r="N300" s="7" t="str">
        <f>IF(B300&gt;Trainingsdaten!$H$3,"",G300-M300)</f>
        <v/>
      </c>
    </row>
    <row r="301" spans="1:14" x14ac:dyDescent="0.25">
      <c r="A301" s="9" t="str">
        <f>IF($B301&gt;Trainingsdaten!$H$3,"",MOD(ROW()-4,Trainingsdaten!$H$4)+1)</f>
        <v/>
      </c>
      <c r="B301" s="11" t="str">
        <f>IF(INT((ROW()-4)/Trainingsdaten!$H$4)+1&gt;Trainingsdaten!$H$3,"",INT((ROW()-4)/Trainingsdaten!$H$4)+1)</f>
        <v/>
      </c>
      <c r="C301" s="9" t="str">
        <f>IF(INT((ROW()-4)/Trainingsdaten!$H$4)+1&gt;Trainingsdaten!$H$3,"",MOD(ROW()-4,Trainingsdaten!$H$4)+1)</f>
        <v/>
      </c>
      <c r="D301" s="9" t="str">
        <f>IF($B301&gt;Trainingsdaten!$H$3,"",INDEX(Trainingsdaten!B:B,$C301+1))</f>
        <v/>
      </c>
      <c r="E301" s="7" t="str">
        <f>IF($B301&gt;Trainingsdaten!$H$3,"",INDEX(Trainingsdaten!C:C,$C301+1))</f>
        <v/>
      </c>
      <c r="F301" s="7" t="str">
        <f>IF($B301&gt;Trainingsdaten!$H$3,"",INDEX(Trainingsdaten!D:D,$C301+1))</f>
        <v/>
      </c>
      <c r="G301" s="7" t="str">
        <f>IF($B301&gt;Trainingsdaten!$H$3,"",INDEX(Trainingsdaten!E:E,$C301+1))</f>
        <v/>
      </c>
      <c r="H301" s="11" t="str">
        <f>IF($B301&gt;Trainingsdaten!$H$3,"",Trainingsdaten!$H$2)</f>
        <v/>
      </c>
      <c r="I301" s="7" t="str">
        <f>IF(B301&gt;Trainingsdaten!$H$3,"",I300+H301*N300*E301)</f>
        <v/>
      </c>
      <c r="J301" s="7" t="str">
        <f>IF(B301&gt;Trainingsdaten!$H$3,"",J300+H301*N300*F301)</f>
        <v/>
      </c>
      <c r="K301" s="7" t="str">
        <f>IF(B301&gt;Trainingsdaten!$H$3,"",K300+H301*N300)</f>
        <v/>
      </c>
      <c r="L301" s="7" t="str">
        <f>IF(B301&gt;Trainingsdaten!$H$3,"",E301*I301+F301*J301+K301)</f>
        <v/>
      </c>
      <c r="M301" s="7" t="str">
        <f>IF(B301&gt;Trainingsdaten!$H$3,"",IF(L301&gt;0,1,0))</f>
        <v/>
      </c>
      <c r="N301" s="7" t="str">
        <f>IF(B301&gt;Trainingsdaten!$H$3,"",G301-M301)</f>
        <v/>
      </c>
    </row>
    <row r="302" spans="1:14" x14ac:dyDescent="0.25">
      <c r="A302" s="9" t="str">
        <f>IF($B302&gt;Trainingsdaten!$H$3,"",MOD(ROW()-4,Trainingsdaten!$H$4)+1)</f>
        <v/>
      </c>
      <c r="B302" s="11" t="str">
        <f>IF(INT((ROW()-4)/Trainingsdaten!$H$4)+1&gt;Trainingsdaten!$H$3,"",INT((ROW()-4)/Trainingsdaten!$H$4)+1)</f>
        <v/>
      </c>
      <c r="C302" s="9" t="str">
        <f>IF(INT((ROW()-4)/Trainingsdaten!$H$4)+1&gt;Trainingsdaten!$H$3,"",MOD(ROW()-4,Trainingsdaten!$H$4)+1)</f>
        <v/>
      </c>
      <c r="D302" s="9" t="str">
        <f>IF($B302&gt;Trainingsdaten!$H$3,"",INDEX(Trainingsdaten!B:B,$C302+1))</f>
        <v/>
      </c>
      <c r="E302" s="7" t="str">
        <f>IF($B302&gt;Trainingsdaten!$H$3,"",INDEX(Trainingsdaten!C:C,$C302+1))</f>
        <v/>
      </c>
      <c r="F302" s="7" t="str">
        <f>IF($B302&gt;Trainingsdaten!$H$3,"",INDEX(Trainingsdaten!D:D,$C302+1))</f>
        <v/>
      </c>
      <c r="G302" s="7" t="str">
        <f>IF($B302&gt;Trainingsdaten!$H$3,"",INDEX(Trainingsdaten!E:E,$C302+1))</f>
        <v/>
      </c>
      <c r="H302" s="11" t="str">
        <f>IF($B302&gt;Trainingsdaten!$H$3,"",Trainingsdaten!$H$2)</f>
        <v/>
      </c>
      <c r="I302" s="7" t="str">
        <f>IF(B302&gt;Trainingsdaten!$H$3,"",I301+H302*N301*E302)</f>
        <v/>
      </c>
      <c r="J302" s="7" t="str">
        <f>IF(B302&gt;Trainingsdaten!$H$3,"",J301+H302*N301*F302)</f>
        <v/>
      </c>
      <c r="K302" s="7" t="str">
        <f>IF(B302&gt;Trainingsdaten!$H$3,"",K301+H302*N301)</f>
        <v/>
      </c>
      <c r="L302" s="7" t="str">
        <f>IF(B302&gt;Trainingsdaten!$H$3,"",E302*I302+F302*J302+K302)</f>
        <v/>
      </c>
      <c r="M302" s="7" t="str">
        <f>IF(B302&gt;Trainingsdaten!$H$3,"",IF(L302&gt;0,1,0))</f>
        <v/>
      </c>
      <c r="N302" s="7" t="str">
        <f>IF(B302&gt;Trainingsdaten!$H$3,"",G302-M302)</f>
        <v/>
      </c>
    </row>
    <row r="303" spans="1:14" x14ac:dyDescent="0.25">
      <c r="A303" s="9" t="str">
        <f>IF($B303&gt;Trainingsdaten!$H$3,"",MOD(ROW()-4,Trainingsdaten!$H$4)+1)</f>
        <v/>
      </c>
      <c r="B303" s="11" t="str">
        <f>IF(INT((ROW()-4)/Trainingsdaten!$H$4)+1&gt;Trainingsdaten!$H$3,"",INT((ROW()-4)/Trainingsdaten!$H$4)+1)</f>
        <v/>
      </c>
      <c r="C303" s="9" t="str">
        <f>IF(INT((ROW()-4)/Trainingsdaten!$H$4)+1&gt;Trainingsdaten!$H$3,"",MOD(ROW()-4,Trainingsdaten!$H$4)+1)</f>
        <v/>
      </c>
      <c r="D303" s="9" t="str">
        <f>IF($B303&gt;Trainingsdaten!$H$3,"",INDEX(Trainingsdaten!B:B,$C303+1))</f>
        <v/>
      </c>
      <c r="E303" s="7" t="str">
        <f>IF($B303&gt;Trainingsdaten!$H$3,"",INDEX(Trainingsdaten!C:C,$C303+1))</f>
        <v/>
      </c>
      <c r="F303" s="7" t="str">
        <f>IF($B303&gt;Trainingsdaten!$H$3,"",INDEX(Trainingsdaten!D:D,$C303+1))</f>
        <v/>
      </c>
      <c r="G303" s="7" t="str">
        <f>IF($B303&gt;Trainingsdaten!$H$3,"",INDEX(Trainingsdaten!E:E,$C303+1))</f>
        <v/>
      </c>
      <c r="H303" s="11" t="str">
        <f>IF($B303&gt;Trainingsdaten!$H$3,"",Trainingsdaten!$H$2)</f>
        <v/>
      </c>
      <c r="I303" s="7" t="str">
        <f>IF(B303&gt;Trainingsdaten!$H$3,"",I302+H303*N302*E303)</f>
        <v/>
      </c>
      <c r="J303" s="7" t="str">
        <f>IF(B303&gt;Trainingsdaten!$H$3,"",J302+H303*N302*F303)</f>
        <v/>
      </c>
      <c r="K303" s="7" t="str">
        <f>IF(B303&gt;Trainingsdaten!$H$3,"",K302+H303*N302)</f>
        <v/>
      </c>
      <c r="L303" s="7" t="str">
        <f>IF(B303&gt;Trainingsdaten!$H$3,"",E303*I303+F303*J303+K303)</f>
        <v/>
      </c>
      <c r="M303" s="7" t="str">
        <f>IF(B303&gt;Trainingsdaten!$H$3,"",IF(L303&gt;0,1,0))</f>
        <v/>
      </c>
      <c r="N303" s="7" t="str">
        <f>IF(B303&gt;Trainingsdaten!$H$3,"",G303-M303)</f>
        <v/>
      </c>
    </row>
    <row r="304" spans="1:14" x14ac:dyDescent="0.25">
      <c r="A304" s="9" t="str">
        <f>IF($B304&gt;Trainingsdaten!$H$3,"",MOD(ROW()-4,Trainingsdaten!$H$4)+1)</f>
        <v/>
      </c>
      <c r="B304" s="11" t="str">
        <f>IF(INT((ROW()-4)/Trainingsdaten!$H$4)+1&gt;Trainingsdaten!$H$3,"",INT((ROW()-4)/Trainingsdaten!$H$4)+1)</f>
        <v/>
      </c>
      <c r="C304" s="9" t="str">
        <f>IF(INT((ROW()-4)/Trainingsdaten!$H$4)+1&gt;Trainingsdaten!$H$3,"",MOD(ROW()-4,Trainingsdaten!$H$4)+1)</f>
        <v/>
      </c>
      <c r="D304" s="9" t="str">
        <f>IF($B304&gt;Trainingsdaten!$H$3,"",INDEX(Trainingsdaten!B:B,$C304+1))</f>
        <v/>
      </c>
      <c r="E304" s="7" t="str">
        <f>IF($B304&gt;Trainingsdaten!$H$3,"",INDEX(Trainingsdaten!C:C,$C304+1))</f>
        <v/>
      </c>
      <c r="F304" s="7" t="str">
        <f>IF($B304&gt;Trainingsdaten!$H$3,"",INDEX(Trainingsdaten!D:D,$C304+1))</f>
        <v/>
      </c>
      <c r="G304" s="7" t="str">
        <f>IF($B304&gt;Trainingsdaten!$H$3,"",INDEX(Trainingsdaten!E:E,$C304+1))</f>
        <v/>
      </c>
      <c r="H304" s="11" t="str">
        <f>IF($B304&gt;Trainingsdaten!$H$3,"",Trainingsdaten!$H$2)</f>
        <v/>
      </c>
      <c r="I304" s="7" t="str">
        <f>IF(B304&gt;Trainingsdaten!$H$3,"",I303+H304*N303*E304)</f>
        <v/>
      </c>
      <c r="J304" s="7" t="str">
        <f>IF(B304&gt;Trainingsdaten!$H$3,"",J303+H304*N303*F304)</f>
        <v/>
      </c>
      <c r="K304" s="7" t="str">
        <f>IF(B304&gt;Trainingsdaten!$H$3,"",K303+H304*N303)</f>
        <v/>
      </c>
      <c r="L304" s="7" t="str">
        <f>IF(B304&gt;Trainingsdaten!$H$3,"",E304*I304+F304*J304+K304)</f>
        <v/>
      </c>
      <c r="M304" s="7" t="str">
        <f>IF(B304&gt;Trainingsdaten!$H$3,"",IF(L304&gt;0,1,0))</f>
        <v/>
      </c>
      <c r="N304" s="7" t="str">
        <f>IF(B304&gt;Trainingsdaten!$H$3,"",G304-M304)</f>
        <v/>
      </c>
    </row>
    <row r="305" spans="1:14" x14ac:dyDescent="0.25">
      <c r="A305" s="9" t="str">
        <f>IF($B305&gt;Trainingsdaten!$H$3,"",MOD(ROW()-4,Trainingsdaten!$H$4)+1)</f>
        <v/>
      </c>
      <c r="B305" s="11" t="str">
        <f>IF(INT((ROW()-4)/Trainingsdaten!$H$4)+1&gt;Trainingsdaten!$H$3,"",INT((ROW()-4)/Trainingsdaten!$H$4)+1)</f>
        <v/>
      </c>
      <c r="C305" s="9" t="str">
        <f>IF(INT((ROW()-4)/Trainingsdaten!$H$4)+1&gt;Trainingsdaten!$H$3,"",MOD(ROW()-4,Trainingsdaten!$H$4)+1)</f>
        <v/>
      </c>
      <c r="D305" s="9" t="str">
        <f>IF($B305&gt;Trainingsdaten!$H$3,"",INDEX(Trainingsdaten!B:B,$C305+1))</f>
        <v/>
      </c>
      <c r="E305" s="7" t="str">
        <f>IF($B305&gt;Trainingsdaten!$H$3,"",INDEX(Trainingsdaten!C:C,$C305+1))</f>
        <v/>
      </c>
      <c r="F305" s="7" t="str">
        <f>IF($B305&gt;Trainingsdaten!$H$3,"",INDEX(Trainingsdaten!D:D,$C305+1))</f>
        <v/>
      </c>
      <c r="G305" s="7" t="str">
        <f>IF($B305&gt;Trainingsdaten!$H$3,"",INDEX(Trainingsdaten!E:E,$C305+1))</f>
        <v/>
      </c>
      <c r="H305" s="11" t="str">
        <f>IF($B305&gt;Trainingsdaten!$H$3,"",Trainingsdaten!$H$2)</f>
        <v/>
      </c>
      <c r="I305" s="7" t="str">
        <f>IF(B305&gt;Trainingsdaten!$H$3,"",I304+H305*N304*E305)</f>
        <v/>
      </c>
      <c r="J305" s="7" t="str">
        <f>IF(B305&gt;Trainingsdaten!$H$3,"",J304+H305*N304*F305)</f>
        <v/>
      </c>
      <c r="K305" s="7" t="str">
        <f>IF(B305&gt;Trainingsdaten!$H$3,"",K304+H305*N304)</f>
        <v/>
      </c>
      <c r="L305" s="7" t="str">
        <f>IF(B305&gt;Trainingsdaten!$H$3,"",E305*I305+F305*J305+K305)</f>
        <v/>
      </c>
      <c r="M305" s="7" t="str">
        <f>IF(B305&gt;Trainingsdaten!$H$3,"",IF(L305&gt;0,1,0))</f>
        <v/>
      </c>
      <c r="N305" s="7" t="str">
        <f>IF(B305&gt;Trainingsdaten!$H$3,"",G305-M305)</f>
        <v/>
      </c>
    </row>
    <row r="306" spans="1:14" x14ac:dyDescent="0.25">
      <c r="A306" s="9" t="str">
        <f>IF($B306&gt;Trainingsdaten!$H$3,"",MOD(ROW()-4,Trainingsdaten!$H$4)+1)</f>
        <v/>
      </c>
      <c r="B306" s="11" t="str">
        <f>IF(INT((ROW()-4)/Trainingsdaten!$H$4)+1&gt;Trainingsdaten!$H$3,"",INT((ROW()-4)/Trainingsdaten!$H$4)+1)</f>
        <v/>
      </c>
      <c r="C306" s="9" t="str">
        <f>IF(INT((ROW()-4)/Trainingsdaten!$H$4)+1&gt;Trainingsdaten!$H$3,"",MOD(ROW()-4,Trainingsdaten!$H$4)+1)</f>
        <v/>
      </c>
      <c r="D306" s="9" t="str">
        <f>IF($B306&gt;Trainingsdaten!$H$3,"",INDEX(Trainingsdaten!B:B,$C306+1))</f>
        <v/>
      </c>
      <c r="E306" s="7" t="str">
        <f>IF($B306&gt;Trainingsdaten!$H$3,"",INDEX(Trainingsdaten!C:C,$C306+1))</f>
        <v/>
      </c>
      <c r="F306" s="7" t="str">
        <f>IF($B306&gt;Trainingsdaten!$H$3,"",INDEX(Trainingsdaten!D:D,$C306+1))</f>
        <v/>
      </c>
      <c r="G306" s="7" t="str">
        <f>IF($B306&gt;Trainingsdaten!$H$3,"",INDEX(Trainingsdaten!E:E,$C306+1))</f>
        <v/>
      </c>
      <c r="H306" s="11" t="str">
        <f>IF($B306&gt;Trainingsdaten!$H$3,"",Trainingsdaten!$H$2)</f>
        <v/>
      </c>
      <c r="I306" s="7" t="str">
        <f>IF(B306&gt;Trainingsdaten!$H$3,"",I305+H306*N305*E306)</f>
        <v/>
      </c>
      <c r="J306" s="7" t="str">
        <f>IF(B306&gt;Trainingsdaten!$H$3,"",J305+H306*N305*F306)</f>
        <v/>
      </c>
      <c r="K306" s="7" t="str">
        <f>IF(B306&gt;Trainingsdaten!$H$3,"",K305+H306*N305)</f>
        <v/>
      </c>
      <c r="L306" s="7" t="str">
        <f>IF(B306&gt;Trainingsdaten!$H$3,"",E306*I306+F306*J306+K306)</f>
        <v/>
      </c>
      <c r="M306" s="7" t="str">
        <f>IF(B306&gt;Trainingsdaten!$H$3,"",IF(L306&gt;0,1,0))</f>
        <v/>
      </c>
      <c r="N306" s="7" t="str">
        <f>IF(B306&gt;Trainingsdaten!$H$3,"",G306-M306)</f>
        <v/>
      </c>
    </row>
    <row r="307" spans="1:14" x14ac:dyDescent="0.25">
      <c r="A307" s="9" t="str">
        <f>IF($B307&gt;Trainingsdaten!$H$3,"",MOD(ROW()-4,Trainingsdaten!$H$4)+1)</f>
        <v/>
      </c>
      <c r="B307" s="11" t="str">
        <f>IF(INT((ROW()-4)/Trainingsdaten!$H$4)+1&gt;Trainingsdaten!$H$3,"",INT((ROW()-4)/Trainingsdaten!$H$4)+1)</f>
        <v/>
      </c>
      <c r="C307" s="9" t="str">
        <f>IF(INT((ROW()-4)/Trainingsdaten!$H$4)+1&gt;Trainingsdaten!$H$3,"",MOD(ROW()-4,Trainingsdaten!$H$4)+1)</f>
        <v/>
      </c>
      <c r="D307" s="9" t="str">
        <f>IF($B307&gt;Trainingsdaten!$H$3,"",INDEX(Trainingsdaten!B:B,$C307+1))</f>
        <v/>
      </c>
      <c r="E307" s="7" t="str">
        <f>IF($B307&gt;Trainingsdaten!$H$3,"",INDEX(Trainingsdaten!C:C,$C307+1))</f>
        <v/>
      </c>
      <c r="F307" s="7" t="str">
        <f>IF($B307&gt;Trainingsdaten!$H$3,"",INDEX(Trainingsdaten!D:D,$C307+1))</f>
        <v/>
      </c>
      <c r="G307" s="7" t="str">
        <f>IF($B307&gt;Trainingsdaten!$H$3,"",INDEX(Trainingsdaten!E:E,$C307+1))</f>
        <v/>
      </c>
      <c r="H307" s="11" t="str">
        <f>IF($B307&gt;Trainingsdaten!$H$3,"",Trainingsdaten!$H$2)</f>
        <v/>
      </c>
      <c r="I307" s="7" t="str">
        <f>IF(B307&gt;Trainingsdaten!$H$3,"",I306+H307*N306*E307)</f>
        <v/>
      </c>
      <c r="J307" s="7" t="str">
        <f>IF(B307&gt;Trainingsdaten!$H$3,"",J306+H307*N306*F307)</f>
        <v/>
      </c>
      <c r="K307" s="7" t="str">
        <f>IF(B307&gt;Trainingsdaten!$H$3,"",K306+H307*N306)</f>
        <v/>
      </c>
      <c r="L307" s="7" t="str">
        <f>IF(B307&gt;Trainingsdaten!$H$3,"",E307*I307+F307*J307+K307)</f>
        <v/>
      </c>
      <c r="M307" s="7" t="str">
        <f>IF(B307&gt;Trainingsdaten!$H$3,"",IF(L307&gt;0,1,0))</f>
        <v/>
      </c>
      <c r="N307" s="7" t="str">
        <f>IF(B307&gt;Trainingsdaten!$H$3,"",G307-M307)</f>
        <v/>
      </c>
    </row>
    <row r="308" spans="1:14" x14ac:dyDescent="0.25">
      <c r="A308" s="9" t="str">
        <f>IF($B308&gt;Trainingsdaten!$H$3,"",MOD(ROW()-4,Trainingsdaten!$H$4)+1)</f>
        <v/>
      </c>
      <c r="B308" s="11" t="str">
        <f>IF(INT((ROW()-4)/Trainingsdaten!$H$4)+1&gt;Trainingsdaten!$H$3,"",INT((ROW()-4)/Trainingsdaten!$H$4)+1)</f>
        <v/>
      </c>
      <c r="C308" s="9" t="str">
        <f>IF(INT((ROW()-4)/Trainingsdaten!$H$4)+1&gt;Trainingsdaten!$H$3,"",MOD(ROW()-4,Trainingsdaten!$H$4)+1)</f>
        <v/>
      </c>
      <c r="D308" s="9" t="str">
        <f>IF($B308&gt;Trainingsdaten!$H$3,"",INDEX(Trainingsdaten!B:B,$C308+1))</f>
        <v/>
      </c>
      <c r="E308" s="7" t="str">
        <f>IF($B308&gt;Trainingsdaten!$H$3,"",INDEX(Trainingsdaten!C:C,$C308+1))</f>
        <v/>
      </c>
      <c r="F308" s="7" t="str">
        <f>IF($B308&gt;Trainingsdaten!$H$3,"",INDEX(Trainingsdaten!D:D,$C308+1))</f>
        <v/>
      </c>
      <c r="G308" s="7" t="str">
        <f>IF($B308&gt;Trainingsdaten!$H$3,"",INDEX(Trainingsdaten!E:E,$C308+1))</f>
        <v/>
      </c>
      <c r="H308" s="11" t="str">
        <f>IF($B308&gt;Trainingsdaten!$H$3,"",Trainingsdaten!$H$2)</f>
        <v/>
      </c>
      <c r="I308" s="7" t="str">
        <f>IF(B308&gt;Trainingsdaten!$H$3,"",I307+H308*N307*E308)</f>
        <v/>
      </c>
      <c r="J308" s="7" t="str">
        <f>IF(B308&gt;Trainingsdaten!$H$3,"",J307+H308*N307*F308)</f>
        <v/>
      </c>
      <c r="K308" s="7" t="str">
        <f>IF(B308&gt;Trainingsdaten!$H$3,"",K307+H308*N307)</f>
        <v/>
      </c>
      <c r="L308" s="7" t="str">
        <f>IF(B308&gt;Trainingsdaten!$H$3,"",E308*I308+F308*J308+K308)</f>
        <v/>
      </c>
      <c r="M308" s="7" t="str">
        <f>IF(B308&gt;Trainingsdaten!$H$3,"",IF(L308&gt;0,1,0))</f>
        <v/>
      </c>
      <c r="N308" s="7" t="str">
        <f>IF(B308&gt;Trainingsdaten!$H$3,"",G308-M308)</f>
        <v/>
      </c>
    </row>
    <row r="309" spans="1:14" x14ac:dyDescent="0.25">
      <c r="A309" s="9" t="str">
        <f>IF($B309&gt;Trainingsdaten!$H$3,"",MOD(ROW()-4,Trainingsdaten!$H$4)+1)</f>
        <v/>
      </c>
      <c r="B309" s="11" t="str">
        <f>IF(INT((ROW()-4)/Trainingsdaten!$H$4)+1&gt;Trainingsdaten!$H$3,"",INT((ROW()-4)/Trainingsdaten!$H$4)+1)</f>
        <v/>
      </c>
      <c r="C309" s="9" t="str">
        <f>IF(INT((ROW()-4)/Trainingsdaten!$H$4)+1&gt;Trainingsdaten!$H$3,"",MOD(ROW()-4,Trainingsdaten!$H$4)+1)</f>
        <v/>
      </c>
      <c r="D309" s="9" t="str">
        <f>IF($B309&gt;Trainingsdaten!$H$3,"",INDEX(Trainingsdaten!B:B,$C309+1))</f>
        <v/>
      </c>
      <c r="E309" s="7" t="str">
        <f>IF($B309&gt;Trainingsdaten!$H$3,"",INDEX(Trainingsdaten!C:C,$C309+1))</f>
        <v/>
      </c>
      <c r="F309" s="7" t="str">
        <f>IF($B309&gt;Trainingsdaten!$H$3,"",INDEX(Trainingsdaten!D:D,$C309+1))</f>
        <v/>
      </c>
      <c r="G309" s="7" t="str">
        <f>IF($B309&gt;Trainingsdaten!$H$3,"",INDEX(Trainingsdaten!E:E,$C309+1))</f>
        <v/>
      </c>
      <c r="H309" s="11" t="str">
        <f>IF($B309&gt;Trainingsdaten!$H$3,"",Trainingsdaten!$H$2)</f>
        <v/>
      </c>
      <c r="I309" s="7" t="str">
        <f>IF(B309&gt;Trainingsdaten!$H$3,"",I308+H309*N308*E309)</f>
        <v/>
      </c>
      <c r="J309" s="7" t="str">
        <f>IF(B309&gt;Trainingsdaten!$H$3,"",J308+H309*N308*F309)</f>
        <v/>
      </c>
      <c r="K309" s="7" t="str">
        <f>IF(B309&gt;Trainingsdaten!$H$3,"",K308+H309*N308)</f>
        <v/>
      </c>
      <c r="L309" s="7" t="str">
        <f>IF(B309&gt;Trainingsdaten!$H$3,"",E309*I309+F309*J309+K309)</f>
        <v/>
      </c>
      <c r="M309" s="7" t="str">
        <f>IF(B309&gt;Trainingsdaten!$H$3,"",IF(L309&gt;0,1,0))</f>
        <v/>
      </c>
      <c r="N309" s="7" t="str">
        <f>IF(B309&gt;Trainingsdaten!$H$3,"",G309-M309)</f>
        <v/>
      </c>
    </row>
    <row r="310" spans="1:14" x14ac:dyDescent="0.25">
      <c r="A310" s="9" t="str">
        <f>IF($B310&gt;Trainingsdaten!$H$3,"",MOD(ROW()-4,Trainingsdaten!$H$4)+1)</f>
        <v/>
      </c>
      <c r="B310" s="11" t="str">
        <f>IF(INT((ROW()-4)/Trainingsdaten!$H$4)+1&gt;Trainingsdaten!$H$3,"",INT((ROW()-4)/Trainingsdaten!$H$4)+1)</f>
        <v/>
      </c>
      <c r="C310" s="9" t="str">
        <f>IF(INT((ROW()-4)/Trainingsdaten!$H$4)+1&gt;Trainingsdaten!$H$3,"",MOD(ROW()-4,Trainingsdaten!$H$4)+1)</f>
        <v/>
      </c>
      <c r="D310" s="9" t="str">
        <f>IF($B310&gt;Trainingsdaten!$H$3,"",INDEX(Trainingsdaten!B:B,$C310+1))</f>
        <v/>
      </c>
      <c r="E310" s="7" t="str">
        <f>IF($B310&gt;Trainingsdaten!$H$3,"",INDEX(Trainingsdaten!C:C,$C310+1))</f>
        <v/>
      </c>
      <c r="F310" s="7" t="str">
        <f>IF($B310&gt;Trainingsdaten!$H$3,"",INDEX(Trainingsdaten!D:D,$C310+1))</f>
        <v/>
      </c>
      <c r="G310" s="7" t="str">
        <f>IF($B310&gt;Trainingsdaten!$H$3,"",INDEX(Trainingsdaten!E:E,$C310+1))</f>
        <v/>
      </c>
      <c r="H310" s="11" t="str">
        <f>IF($B310&gt;Trainingsdaten!$H$3,"",Trainingsdaten!$H$2)</f>
        <v/>
      </c>
      <c r="I310" s="7" t="str">
        <f>IF(B310&gt;Trainingsdaten!$H$3,"",I309+H310*N309*E310)</f>
        <v/>
      </c>
      <c r="J310" s="7" t="str">
        <f>IF(B310&gt;Trainingsdaten!$H$3,"",J309+H310*N309*F310)</f>
        <v/>
      </c>
      <c r="K310" s="7" t="str">
        <f>IF(B310&gt;Trainingsdaten!$H$3,"",K309+H310*N309)</f>
        <v/>
      </c>
      <c r="L310" s="7" t="str">
        <f>IF(B310&gt;Trainingsdaten!$H$3,"",E310*I310+F310*J310+K310)</f>
        <v/>
      </c>
      <c r="M310" s="7" t="str">
        <f>IF(B310&gt;Trainingsdaten!$H$3,"",IF(L310&gt;0,1,0))</f>
        <v/>
      </c>
      <c r="N310" s="7" t="str">
        <f>IF(B310&gt;Trainingsdaten!$H$3,"",G310-M310)</f>
        <v/>
      </c>
    </row>
    <row r="311" spans="1:14" x14ac:dyDescent="0.25">
      <c r="A311" s="9" t="str">
        <f>IF($B311&gt;Trainingsdaten!$H$3,"",MOD(ROW()-4,Trainingsdaten!$H$4)+1)</f>
        <v/>
      </c>
      <c r="B311" s="11" t="str">
        <f>IF(INT((ROW()-4)/Trainingsdaten!$H$4)+1&gt;Trainingsdaten!$H$3,"",INT((ROW()-4)/Trainingsdaten!$H$4)+1)</f>
        <v/>
      </c>
      <c r="C311" s="9" t="str">
        <f>IF(INT((ROW()-4)/Trainingsdaten!$H$4)+1&gt;Trainingsdaten!$H$3,"",MOD(ROW()-4,Trainingsdaten!$H$4)+1)</f>
        <v/>
      </c>
      <c r="D311" s="9" t="str">
        <f>IF($B311&gt;Trainingsdaten!$H$3,"",INDEX(Trainingsdaten!B:B,$C311+1))</f>
        <v/>
      </c>
      <c r="E311" s="7" t="str">
        <f>IF($B311&gt;Trainingsdaten!$H$3,"",INDEX(Trainingsdaten!C:C,$C311+1))</f>
        <v/>
      </c>
      <c r="F311" s="7" t="str">
        <f>IF($B311&gt;Trainingsdaten!$H$3,"",INDEX(Trainingsdaten!D:D,$C311+1))</f>
        <v/>
      </c>
      <c r="G311" s="7" t="str">
        <f>IF($B311&gt;Trainingsdaten!$H$3,"",INDEX(Trainingsdaten!E:E,$C311+1))</f>
        <v/>
      </c>
      <c r="H311" s="11" t="str">
        <f>IF($B311&gt;Trainingsdaten!$H$3,"",Trainingsdaten!$H$2)</f>
        <v/>
      </c>
      <c r="I311" s="7" t="str">
        <f>IF(B311&gt;Trainingsdaten!$H$3,"",I310+H311*N310*E311)</f>
        <v/>
      </c>
      <c r="J311" s="7" t="str">
        <f>IF(B311&gt;Trainingsdaten!$H$3,"",J310+H311*N310*F311)</f>
        <v/>
      </c>
      <c r="K311" s="7" t="str">
        <f>IF(B311&gt;Trainingsdaten!$H$3,"",K310+H311*N310)</f>
        <v/>
      </c>
      <c r="L311" s="7" t="str">
        <f>IF(B311&gt;Trainingsdaten!$H$3,"",E311*I311+F311*J311+K311)</f>
        <v/>
      </c>
      <c r="M311" s="7" t="str">
        <f>IF(B311&gt;Trainingsdaten!$H$3,"",IF(L311&gt;0,1,0))</f>
        <v/>
      </c>
      <c r="N311" s="7" t="str">
        <f>IF(B311&gt;Trainingsdaten!$H$3,"",G311-M311)</f>
        <v/>
      </c>
    </row>
    <row r="312" spans="1:14" x14ac:dyDescent="0.25">
      <c r="A312" s="9" t="str">
        <f>IF($B312&gt;Trainingsdaten!$H$3,"",MOD(ROW()-4,Trainingsdaten!$H$4)+1)</f>
        <v/>
      </c>
      <c r="B312" s="11" t="str">
        <f>IF(INT((ROW()-4)/Trainingsdaten!$H$4)+1&gt;Trainingsdaten!$H$3,"",INT((ROW()-4)/Trainingsdaten!$H$4)+1)</f>
        <v/>
      </c>
      <c r="C312" s="9" t="str">
        <f>IF(INT((ROW()-4)/Trainingsdaten!$H$4)+1&gt;Trainingsdaten!$H$3,"",MOD(ROW()-4,Trainingsdaten!$H$4)+1)</f>
        <v/>
      </c>
      <c r="D312" s="9" t="str">
        <f>IF($B312&gt;Trainingsdaten!$H$3,"",INDEX(Trainingsdaten!B:B,$C312+1))</f>
        <v/>
      </c>
      <c r="E312" s="7" t="str">
        <f>IF($B312&gt;Trainingsdaten!$H$3,"",INDEX(Trainingsdaten!C:C,$C312+1))</f>
        <v/>
      </c>
      <c r="F312" s="7" t="str">
        <f>IF($B312&gt;Trainingsdaten!$H$3,"",INDEX(Trainingsdaten!D:D,$C312+1))</f>
        <v/>
      </c>
      <c r="G312" s="7" t="str">
        <f>IF($B312&gt;Trainingsdaten!$H$3,"",INDEX(Trainingsdaten!E:E,$C312+1))</f>
        <v/>
      </c>
      <c r="H312" s="11" t="str">
        <f>IF($B312&gt;Trainingsdaten!$H$3,"",Trainingsdaten!$H$2)</f>
        <v/>
      </c>
      <c r="I312" s="7" t="str">
        <f>IF(B312&gt;Trainingsdaten!$H$3,"",I311+H312*N311*E312)</f>
        <v/>
      </c>
      <c r="J312" s="7" t="str">
        <f>IF(B312&gt;Trainingsdaten!$H$3,"",J311+H312*N311*F312)</f>
        <v/>
      </c>
      <c r="K312" s="7" t="str">
        <f>IF(B312&gt;Trainingsdaten!$H$3,"",K311+H312*N311)</f>
        <v/>
      </c>
      <c r="L312" s="7" t="str">
        <f>IF(B312&gt;Trainingsdaten!$H$3,"",E312*I312+F312*J312+K312)</f>
        <v/>
      </c>
      <c r="M312" s="7" t="str">
        <f>IF(B312&gt;Trainingsdaten!$H$3,"",IF(L312&gt;0,1,0))</f>
        <v/>
      </c>
      <c r="N312" s="7" t="str">
        <f>IF(B312&gt;Trainingsdaten!$H$3,"",G312-M312)</f>
        <v/>
      </c>
    </row>
    <row r="313" spans="1:14" x14ac:dyDescent="0.25">
      <c r="A313" s="9" t="str">
        <f>IF($B313&gt;Trainingsdaten!$H$3,"",MOD(ROW()-4,Trainingsdaten!$H$4)+1)</f>
        <v/>
      </c>
      <c r="B313" s="11" t="str">
        <f>IF(INT((ROW()-4)/Trainingsdaten!$H$4)+1&gt;Trainingsdaten!$H$3,"",INT((ROW()-4)/Trainingsdaten!$H$4)+1)</f>
        <v/>
      </c>
      <c r="C313" s="9" t="str">
        <f>IF(INT((ROW()-4)/Trainingsdaten!$H$4)+1&gt;Trainingsdaten!$H$3,"",MOD(ROW()-4,Trainingsdaten!$H$4)+1)</f>
        <v/>
      </c>
      <c r="D313" s="9" t="str">
        <f>IF($B313&gt;Trainingsdaten!$H$3,"",INDEX(Trainingsdaten!B:B,$C313+1))</f>
        <v/>
      </c>
      <c r="E313" s="7" t="str">
        <f>IF($B313&gt;Trainingsdaten!$H$3,"",INDEX(Trainingsdaten!C:C,$C313+1))</f>
        <v/>
      </c>
      <c r="F313" s="7" t="str">
        <f>IF($B313&gt;Trainingsdaten!$H$3,"",INDEX(Trainingsdaten!D:D,$C313+1))</f>
        <v/>
      </c>
      <c r="G313" s="7" t="str">
        <f>IF($B313&gt;Trainingsdaten!$H$3,"",INDEX(Trainingsdaten!E:E,$C313+1))</f>
        <v/>
      </c>
      <c r="H313" s="11" t="str">
        <f>IF($B313&gt;Trainingsdaten!$H$3,"",Trainingsdaten!$H$2)</f>
        <v/>
      </c>
      <c r="I313" s="7" t="str">
        <f>IF(B313&gt;Trainingsdaten!$H$3,"",I312+H313*N312*E313)</f>
        <v/>
      </c>
      <c r="J313" s="7" t="str">
        <f>IF(B313&gt;Trainingsdaten!$H$3,"",J312+H313*N312*F313)</f>
        <v/>
      </c>
      <c r="K313" s="7" t="str">
        <f>IF(B313&gt;Trainingsdaten!$H$3,"",K312+H313*N312)</f>
        <v/>
      </c>
      <c r="L313" s="7" t="str">
        <f>IF(B313&gt;Trainingsdaten!$H$3,"",E313*I313+F313*J313+K313)</f>
        <v/>
      </c>
      <c r="M313" s="7" t="str">
        <f>IF(B313&gt;Trainingsdaten!$H$3,"",IF(L313&gt;0,1,0))</f>
        <v/>
      </c>
      <c r="N313" s="7" t="str">
        <f>IF(B313&gt;Trainingsdaten!$H$3,"",G313-M313)</f>
        <v/>
      </c>
    </row>
    <row r="314" spans="1:14" x14ac:dyDescent="0.25">
      <c r="A314" s="9" t="str">
        <f>IF($B314&gt;Trainingsdaten!$H$3,"",MOD(ROW()-4,Trainingsdaten!$H$4)+1)</f>
        <v/>
      </c>
      <c r="B314" s="11" t="str">
        <f>IF(INT((ROW()-4)/Trainingsdaten!$H$4)+1&gt;Trainingsdaten!$H$3,"",INT((ROW()-4)/Trainingsdaten!$H$4)+1)</f>
        <v/>
      </c>
      <c r="C314" s="9" t="str">
        <f>IF(INT((ROW()-4)/Trainingsdaten!$H$4)+1&gt;Trainingsdaten!$H$3,"",MOD(ROW()-4,Trainingsdaten!$H$4)+1)</f>
        <v/>
      </c>
      <c r="D314" s="9" t="str">
        <f>IF($B314&gt;Trainingsdaten!$H$3,"",INDEX(Trainingsdaten!B:B,$C314+1))</f>
        <v/>
      </c>
      <c r="E314" s="7" t="str">
        <f>IF($B314&gt;Trainingsdaten!$H$3,"",INDEX(Trainingsdaten!C:C,$C314+1))</f>
        <v/>
      </c>
      <c r="F314" s="7" t="str">
        <f>IF($B314&gt;Trainingsdaten!$H$3,"",INDEX(Trainingsdaten!D:D,$C314+1))</f>
        <v/>
      </c>
      <c r="G314" s="7" t="str">
        <f>IF($B314&gt;Trainingsdaten!$H$3,"",INDEX(Trainingsdaten!E:E,$C314+1))</f>
        <v/>
      </c>
      <c r="H314" s="11" t="str">
        <f>IF($B314&gt;Trainingsdaten!$H$3,"",Trainingsdaten!$H$2)</f>
        <v/>
      </c>
      <c r="I314" s="7" t="str">
        <f>IF(B314&gt;Trainingsdaten!$H$3,"",I313+H314*N313*E314)</f>
        <v/>
      </c>
      <c r="J314" s="7" t="str">
        <f>IF(B314&gt;Trainingsdaten!$H$3,"",J313+H314*N313*F314)</f>
        <v/>
      </c>
      <c r="K314" s="7" t="str">
        <f>IF(B314&gt;Trainingsdaten!$H$3,"",K313+H314*N313)</f>
        <v/>
      </c>
      <c r="L314" s="7" t="str">
        <f>IF(B314&gt;Trainingsdaten!$H$3,"",E314*I314+F314*J314+K314)</f>
        <v/>
      </c>
      <c r="M314" s="7" t="str">
        <f>IF(B314&gt;Trainingsdaten!$H$3,"",IF(L314&gt;0,1,0))</f>
        <v/>
      </c>
      <c r="N314" s="7" t="str">
        <f>IF(B314&gt;Trainingsdaten!$H$3,"",G314-M314)</f>
        <v/>
      </c>
    </row>
    <row r="315" spans="1:14" x14ac:dyDescent="0.25">
      <c r="A315" s="9" t="str">
        <f>IF($B315&gt;Trainingsdaten!$H$3,"",MOD(ROW()-4,Trainingsdaten!$H$4)+1)</f>
        <v/>
      </c>
      <c r="B315" s="11" t="str">
        <f>IF(INT((ROW()-4)/Trainingsdaten!$H$4)+1&gt;Trainingsdaten!$H$3,"",INT((ROW()-4)/Trainingsdaten!$H$4)+1)</f>
        <v/>
      </c>
      <c r="C315" s="9" t="str">
        <f>IF(INT((ROW()-4)/Trainingsdaten!$H$4)+1&gt;Trainingsdaten!$H$3,"",MOD(ROW()-4,Trainingsdaten!$H$4)+1)</f>
        <v/>
      </c>
      <c r="D315" s="9" t="str">
        <f>IF($B315&gt;Trainingsdaten!$H$3,"",INDEX(Trainingsdaten!B:B,$C315+1))</f>
        <v/>
      </c>
      <c r="E315" s="7" t="str">
        <f>IF($B315&gt;Trainingsdaten!$H$3,"",INDEX(Trainingsdaten!C:C,$C315+1))</f>
        <v/>
      </c>
      <c r="F315" s="7" t="str">
        <f>IF($B315&gt;Trainingsdaten!$H$3,"",INDEX(Trainingsdaten!D:D,$C315+1))</f>
        <v/>
      </c>
      <c r="G315" s="7" t="str">
        <f>IF($B315&gt;Trainingsdaten!$H$3,"",INDEX(Trainingsdaten!E:E,$C315+1))</f>
        <v/>
      </c>
      <c r="H315" s="11" t="str">
        <f>IF($B315&gt;Trainingsdaten!$H$3,"",Trainingsdaten!$H$2)</f>
        <v/>
      </c>
      <c r="I315" s="7" t="str">
        <f>IF(B315&gt;Trainingsdaten!$H$3,"",I314+H315*N314*E315)</f>
        <v/>
      </c>
      <c r="J315" s="7" t="str">
        <f>IF(B315&gt;Trainingsdaten!$H$3,"",J314+H315*N314*F315)</f>
        <v/>
      </c>
      <c r="K315" s="7" t="str">
        <f>IF(B315&gt;Trainingsdaten!$H$3,"",K314+H315*N314)</f>
        <v/>
      </c>
      <c r="L315" s="7" t="str">
        <f>IF(B315&gt;Trainingsdaten!$H$3,"",E315*I315+F315*J315+K315)</f>
        <v/>
      </c>
      <c r="M315" s="7" t="str">
        <f>IF(B315&gt;Trainingsdaten!$H$3,"",IF(L315&gt;0,1,0))</f>
        <v/>
      </c>
      <c r="N315" s="7" t="str">
        <f>IF(B315&gt;Trainingsdaten!$H$3,"",G315-M315)</f>
        <v/>
      </c>
    </row>
    <row r="316" spans="1:14" x14ac:dyDescent="0.25">
      <c r="A316" s="9" t="str">
        <f>IF($B316&gt;Trainingsdaten!$H$3,"",MOD(ROW()-4,Trainingsdaten!$H$4)+1)</f>
        <v/>
      </c>
      <c r="B316" s="11" t="str">
        <f>IF(INT((ROW()-4)/Trainingsdaten!$H$4)+1&gt;Trainingsdaten!$H$3,"",INT((ROW()-4)/Trainingsdaten!$H$4)+1)</f>
        <v/>
      </c>
      <c r="C316" s="9" t="str">
        <f>IF(INT((ROW()-4)/Trainingsdaten!$H$4)+1&gt;Trainingsdaten!$H$3,"",MOD(ROW()-4,Trainingsdaten!$H$4)+1)</f>
        <v/>
      </c>
      <c r="D316" s="9" t="str">
        <f>IF($B316&gt;Trainingsdaten!$H$3,"",INDEX(Trainingsdaten!B:B,$C316+1))</f>
        <v/>
      </c>
      <c r="E316" s="7" t="str">
        <f>IF($B316&gt;Trainingsdaten!$H$3,"",INDEX(Trainingsdaten!C:C,$C316+1))</f>
        <v/>
      </c>
      <c r="F316" s="7" t="str">
        <f>IF($B316&gt;Trainingsdaten!$H$3,"",INDEX(Trainingsdaten!D:D,$C316+1))</f>
        <v/>
      </c>
      <c r="G316" s="7" t="str">
        <f>IF($B316&gt;Trainingsdaten!$H$3,"",INDEX(Trainingsdaten!E:E,$C316+1))</f>
        <v/>
      </c>
      <c r="H316" s="11" t="str">
        <f>IF($B316&gt;Trainingsdaten!$H$3,"",Trainingsdaten!$H$2)</f>
        <v/>
      </c>
      <c r="I316" s="7" t="str">
        <f>IF(B316&gt;Trainingsdaten!$H$3,"",I315+H316*N315*E316)</f>
        <v/>
      </c>
      <c r="J316" s="7" t="str">
        <f>IF(B316&gt;Trainingsdaten!$H$3,"",J315+H316*N315*F316)</f>
        <v/>
      </c>
      <c r="K316" s="7" t="str">
        <f>IF(B316&gt;Trainingsdaten!$H$3,"",K315+H316*N315)</f>
        <v/>
      </c>
      <c r="L316" s="7" t="str">
        <f>IF(B316&gt;Trainingsdaten!$H$3,"",E316*I316+F316*J316+K316)</f>
        <v/>
      </c>
      <c r="M316" s="7" t="str">
        <f>IF(B316&gt;Trainingsdaten!$H$3,"",IF(L316&gt;0,1,0))</f>
        <v/>
      </c>
      <c r="N316" s="7" t="str">
        <f>IF(B316&gt;Trainingsdaten!$H$3,"",G316-M316)</f>
        <v/>
      </c>
    </row>
    <row r="317" spans="1:14" x14ac:dyDescent="0.25">
      <c r="A317" s="9" t="str">
        <f>IF($B317&gt;Trainingsdaten!$H$3,"",MOD(ROW()-4,Trainingsdaten!$H$4)+1)</f>
        <v/>
      </c>
      <c r="B317" s="11" t="str">
        <f>IF(INT((ROW()-4)/Trainingsdaten!$H$4)+1&gt;Trainingsdaten!$H$3,"",INT((ROW()-4)/Trainingsdaten!$H$4)+1)</f>
        <v/>
      </c>
      <c r="C317" s="9" t="str">
        <f>IF(INT((ROW()-4)/Trainingsdaten!$H$4)+1&gt;Trainingsdaten!$H$3,"",MOD(ROW()-4,Trainingsdaten!$H$4)+1)</f>
        <v/>
      </c>
      <c r="D317" s="9" t="str">
        <f>IF($B317&gt;Trainingsdaten!$H$3,"",INDEX(Trainingsdaten!B:B,$C317+1))</f>
        <v/>
      </c>
      <c r="E317" s="7" t="str">
        <f>IF($B317&gt;Trainingsdaten!$H$3,"",INDEX(Trainingsdaten!C:C,$C317+1))</f>
        <v/>
      </c>
      <c r="F317" s="7" t="str">
        <f>IF($B317&gt;Trainingsdaten!$H$3,"",INDEX(Trainingsdaten!D:D,$C317+1))</f>
        <v/>
      </c>
      <c r="G317" s="7" t="str">
        <f>IF($B317&gt;Trainingsdaten!$H$3,"",INDEX(Trainingsdaten!E:E,$C317+1))</f>
        <v/>
      </c>
      <c r="H317" s="11" t="str">
        <f>IF($B317&gt;Trainingsdaten!$H$3,"",Trainingsdaten!$H$2)</f>
        <v/>
      </c>
      <c r="I317" s="7" t="str">
        <f>IF(B317&gt;Trainingsdaten!$H$3,"",I316+H317*N316*E317)</f>
        <v/>
      </c>
      <c r="J317" s="7" t="str">
        <f>IF(B317&gt;Trainingsdaten!$H$3,"",J316+H317*N316*F317)</f>
        <v/>
      </c>
      <c r="K317" s="7" t="str">
        <f>IF(B317&gt;Trainingsdaten!$H$3,"",K316+H317*N316)</f>
        <v/>
      </c>
      <c r="L317" s="7" t="str">
        <f>IF(B317&gt;Trainingsdaten!$H$3,"",E317*I317+F317*J317+K317)</f>
        <v/>
      </c>
      <c r="M317" s="7" t="str">
        <f>IF(B317&gt;Trainingsdaten!$H$3,"",IF(L317&gt;0,1,0))</f>
        <v/>
      </c>
      <c r="N317" s="7" t="str">
        <f>IF(B317&gt;Trainingsdaten!$H$3,"",G317-M317)</f>
        <v/>
      </c>
    </row>
    <row r="318" spans="1:14" x14ac:dyDescent="0.25">
      <c r="A318" s="9" t="str">
        <f>IF($B318&gt;Trainingsdaten!$H$3,"",MOD(ROW()-4,Trainingsdaten!$H$4)+1)</f>
        <v/>
      </c>
      <c r="B318" s="11" t="str">
        <f>IF(INT((ROW()-4)/Trainingsdaten!$H$4)+1&gt;Trainingsdaten!$H$3,"",INT((ROW()-4)/Trainingsdaten!$H$4)+1)</f>
        <v/>
      </c>
      <c r="C318" s="9" t="str">
        <f>IF(INT((ROW()-4)/Trainingsdaten!$H$4)+1&gt;Trainingsdaten!$H$3,"",MOD(ROW()-4,Trainingsdaten!$H$4)+1)</f>
        <v/>
      </c>
      <c r="D318" s="9" t="str">
        <f>IF($B318&gt;Trainingsdaten!$H$3,"",INDEX(Trainingsdaten!B:B,$C318+1))</f>
        <v/>
      </c>
      <c r="E318" s="7" t="str">
        <f>IF($B318&gt;Trainingsdaten!$H$3,"",INDEX(Trainingsdaten!C:C,$C318+1))</f>
        <v/>
      </c>
      <c r="F318" s="7" t="str">
        <f>IF($B318&gt;Trainingsdaten!$H$3,"",INDEX(Trainingsdaten!D:D,$C318+1))</f>
        <v/>
      </c>
      <c r="G318" s="7" t="str">
        <f>IF($B318&gt;Trainingsdaten!$H$3,"",INDEX(Trainingsdaten!E:E,$C318+1))</f>
        <v/>
      </c>
      <c r="H318" s="11" t="str">
        <f>IF($B318&gt;Trainingsdaten!$H$3,"",Trainingsdaten!$H$2)</f>
        <v/>
      </c>
      <c r="I318" s="7" t="str">
        <f>IF(B318&gt;Trainingsdaten!$H$3,"",I317+H318*N317*E318)</f>
        <v/>
      </c>
      <c r="J318" s="7" t="str">
        <f>IF(B318&gt;Trainingsdaten!$H$3,"",J317+H318*N317*F318)</f>
        <v/>
      </c>
      <c r="K318" s="7" t="str">
        <f>IF(B318&gt;Trainingsdaten!$H$3,"",K317+H318*N317)</f>
        <v/>
      </c>
      <c r="L318" s="7" t="str">
        <f>IF(B318&gt;Trainingsdaten!$H$3,"",E318*I318+F318*J318+K318)</f>
        <v/>
      </c>
      <c r="M318" s="7" t="str">
        <f>IF(B318&gt;Trainingsdaten!$H$3,"",IF(L318&gt;0,1,0))</f>
        <v/>
      </c>
      <c r="N318" s="7" t="str">
        <f>IF(B318&gt;Trainingsdaten!$H$3,"",G318-M318)</f>
        <v/>
      </c>
    </row>
    <row r="319" spans="1:14" x14ac:dyDescent="0.25">
      <c r="A319" s="9" t="str">
        <f>IF($B319&gt;Trainingsdaten!$H$3,"",MOD(ROW()-4,Trainingsdaten!$H$4)+1)</f>
        <v/>
      </c>
      <c r="B319" s="11" t="str">
        <f>IF(INT((ROW()-4)/Trainingsdaten!$H$4)+1&gt;Trainingsdaten!$H$3,"",INT((ROW()-4)/Trainingsdaten!$H$4)+1)</f>
        <v/>
      </c>
      <c r="C319" s="9" t="str">
        <f>IF(INT((ROW()-4)/Trainingsdaten!$H$4)+1&gt;Trainingsdaten!$H$3,"",MOD(ROW()-4,Trainingsdaten!$H$4)+1)</f>
        <v/>
      </c>
      <c r="D319" s="9" t="str">
        <f>IF($B319&gt;Trainingsdaten!$H$3,"",INDEX(Trainingsdaten!B:B,$C319+1))</f>
        <v/>
      </c>
      <c r="E319" s="7" t="str">
        <f>IF($B319&gt;Trainingsdaten!$H$3,"",INDEX(Trainingsdaten!C:C,$C319+1))</f>
        <v/>
      </c>
      <c r="F319" s="7" t="str">
        <f>IF($B319&gt;Trainingsdaten!$H$3,"",INDEX(Trainingsdaten!D:D,$C319+1))</f>
        <v/>
      </c>
      <c r="G319" s="7" t="str">
        <f>IF($B319&gt;Trainingsdaten!$H$3,"",INDEX(Trainingsdaten!E:E,$C319+1))</f>
        <v/>
      </c>
      <c r="H319" s="11" t="str">
        <f>IF($B319&gt;Trainingsdaten!$H$3,"",Trainingsdaten!$H$2)</f>
        <v/>
      </c>
      <c r="I319" s="7" t="str">
        <f>IF(B319&gt;Trainingsdaten!$H$3,"",I318+H319*N318*E319)</f>
        <v/>
      </c>
      <c r="J319" s="7" t="str">
        <f>IF(B319&gt;Trainingsdaten!$H$3,"",J318+H319*N318*F319)</f>
        <v/>
      </c>
      <c r="K319" s="7" t="str">
        <f>IF(B319&gt;Trainingsdaten!$H$3,"",K318+H319*N318)</f>
        <v/>
      </c>
      <c r="L319" s="7" t="str">
        <f>IF(B319&gt;Trainingsdaten!$H$3,"",E319*I319+F319*J319+K319)</f>
        <v/>
      </c>
      <c r="M319" s="7" t="str">
        <f>IF(B319&gt;Trainingsdaten!$H$3,"",IF(L319&gt;0,1,0))</f>
        <v/>
      </c>
      <c r="N319" s="7" t="str">
        <f>IF(B319&gt;Trainingsdaten!$H$3,"",G319-M319)</f>
        <v/>
      </c>
    </row>
    <row r="320" spans="1:14" x14ac:dyDescent="0.25">
      <c r="A320" s="9" t="str">
        <f>IF($B320&gt;Trainingsdaten!$H$3,"",MOD(ROW()-4,Trainingsdaten!$H$4)+1)</f>
        <v/>
      </c>
      <c r="B320" s="11" t="str">
        <f>IF(INT((ROW()-4)/Trainingsdaten!$H$4)+1&gt;Trainingsdaten!$H$3,"",INT((ROW()-4)/Trainingsdaten!$H$4)+1)</f>
        <v/>
      </c>
      <c r="C320" s="9" t="str">
        <f>IF(INT((ROW()-4)/Trainingsdaten!$H$4)+1&gt;Trainingsdaten!$H$3,"",MOD(ROW()-4,Trainingsdaten!$H$4)+1)</f>
        <v/>
      </c>
      <c r="D320" s="9" t="str">
        <f>IF($B320&gt;Trainingsdaten!$H$3,"",INDEX(Trainingsdaten!B:B,$C320+1))</f>
        <v/>
      </c>
      <c r="E320" s="7" t="str">
        <f>IF($B320&gt;Trainingsdaten!$H$3,"",INDEX(Trainingsdaten!C:C,$C320+1))</f>
        <v/>
      </c>
      <c r="F320" s="7" t="str">
        <f>IF($B320&gt;Trainingsdaten!$H$3,"",INDEX(Trainingsdaten!D:D,$C320+1))</f>
        <v/>
      </c>
      <c r="G320" s="7" t="str">
        <f>IF($B320&gt;Trainingsdaten!$H$3,"",INDEX(Trainingsdaten!E:E,$C320+1))</f>
        <v/>
      </c>
      <c r="H320" s="11" t="str">
        <f>IF($B320&gt;Trainingsdaten!$H$3,"",Trainingsdaten!$H$2)</f>
        <v/>
      </c>
      <c r="I320" s="7" t="str">
        <f>IF(B320&gt;Trainingsdaten!$H$3,"",I319+H320*N319*E320)</f>
        <v/>
      </c>
      <c r="J320" s="7" t="str">
        <f>IF(B320&gt;Trainingsdaten!$H$3,"",J319+H320*N319*F320)</f>
        <v/>
      </c>
      <c r="K320" s="7" t="str">
        <f>IF(B320&gt;Trainingsdaten!$H$3,"",K319+H320*N319)</f>
        <v/>
      </c>
      <c r="L320" s="7" t="str">
        <f>IF(B320&gt;Trainingsdaten!$H$3,"",E320*I320+F320*J320+K320)</f>
        <v/>
      </c>
      <c r="M320" s="7" t="str">
        <f>IF(B320&gt;Trainingsdaten!$H$3,"",IF(L320&gt;0,1,0))</f>
        <v/>
      </c>
      <c r="N320" s="7" t="str">
        <f>IF(B320&gt;Trainingsdaten!$H$3,"",G320-M320)</f>
        <v/>
      </c>
    </row>
    <row r="321" spans="1:14" x14ac:dyDescent="0.25">
      <c r="A321" s="9" t="str">
        <f>IF($B321&gt;Trainingsdaten!$H$3,"",MOD(ROW()-4,Trainingsdaten!$H$4)+1)</f>
        <v/>
      </c>
      <c r="B321" s="11" t="str">
        <f>IF(INT((ROW()-4)/Trainingsdaten!$H$4)+1&gt;Trainingsdaten!$H$3,"",INT((ROW()-4)/Trainingsdaten!$H$4)+1)</f>
        <v/>
      </c>
      <c r="C321" s="9" t="str">
        <f>IF(INT((ROW()-4)/Trainingsdaten!$H$4)+1&gt;Trainingsdaten!$H$3,"",MOD(ROW()-4,Trainingsdaten!$H$4)+1)</f>
        <v/>
      </c>
      <c r="D321" s="9" t="str">
        <f>IF($B321&gt;Trainingsdaten!$H$3,"",INDEX(Trainingsdaten!B:B,$C321+1))</f>
        <v/>
      </c>
      <c r="E321" s="7" t="str">
        <f>IF($B321&gt;Trainingsdaten!$H$3,"",INDEX(Trainingsdaten!C:C,$C321+1))</f>
        <v/>
      </c>
      <c r="F321" s="7" t="str">
        <f>IF($B321&gt;Trainingsdaten!$H$3,"",INDEX(Trainingsdaten!D:D,$C321+1))</f>
        <v/>
      </c>
      <c r="G321" s="7" t="str">
        <f>IF($B321&gt;Trainingsdaten!$H$3,"",INDEX(Trainingsdaten!E:E,$C321+1))</f>
        <v/>
      </c>
      <c r="H321" s="11" t="str">
        <f>IF($B321&gt;Trainingsdaten!$H$3,"",Trainingsdaten!$H$2)</f>
        <v/>
      </c>
      <c r="I321" s="7" t="str">
        <f>IF(B321&gt;Trainingsdaten!$H$3,"",I320+H321*N320*E321)</f>
        <v/>
      </c>
      <c r="J321" s="7" t="str">
        <f>IF(B321&gt;Trainingsdaten!$H$3,"",J320+H321*N320*F321)</f>
        <v/>
      </c>
      <c r="K321" s="7" t="str">
        <f>IF(B321&gt;Trainingsdaten!$H$3,"",K320+H321*N320)</f>
        <v/>
      </c>
      <c r="L321" s="7" t="str">
        <f>IF(B321&gt;Trainingsdaten!$H$3,"",E321*I321+F321*J321+K321)</f>
        <v/>
      </c>
      <c r="M321" s="7" t="str">
        <f>IF(B321&gt;Trainingsdaten!$H$3,"",IF(L321&gt;0,1,0))</f>
        <v/>
      </c>
      <c r="N321" s="7" t="str">
        <f>IF(B321&gt;Trainingsdaten!$H$3,"",G321-M321)</f>
        <v/>
      </c>
    </row>
    <row r="322" spans="1:14" x14ac:dyDescent="0.25">
      <c r="A322" s="9" t="str">
        <f>IF($B322&gt;Trainingsdaten!$H$3,"",MOD(ROW()-4,Trainingsdaten!$H$4)+1)</f>
        <v/>
      </c>
      <c r="B322" s="11" t="str">
        <f>IF(INT((ROW()-4)/Trainingsdaten!$H$4)+1&gt;Trainingsdaten!$H$3,"",INT((ROW()-4)/Trainingsdaten!$H$4)+1)</f>
        <v/>
      </c>
      <c r="C322" s="9" t="str">
        <f>IF(INT((ROW()-4)/Trainingsdaten!$H$4)+1&gt;Trainingsdaten!$H$3,"",MOD(ROW()-4,Trainingsdaten!$H$4)+1)</f>
        <v/>
      </c>
      <c r="D322" s="9" t="str">
        <f>IF($B322&gt;Trainingsdaten!$H$3,"",INDEX(Trainingsdaten!B:B,$C322+1))</f>
        <v/>
      </c>
      <c r="E322" s="7" t="str">
        <f>IF($B322&gt;Trainingsdaten!$H$3,"",INDEX(Trainingsdaten!C:C,$C322+1))</f>
        <v/>
      </c>
      <c r="F322" s="7" t="str">
        <f>IF($B322&gt;Trainingsdaten!$H$3,"",INDEX(Trainingsdaten!D:D,$C322+1))</f>
        <v/>
      </c>
      <c r="G322" s="7" t="str">
        <f>IF($B322&gt;Trainingsdaten!$H$3,"",INDEX(Trainingsdaten!E:E,$C322+1))</f>
        <v/>
      </c>
      <c r="H322" s="11" t="str">
        <f>IF($B322&gt;Trainingsdaten!$H$3,"",Trainingsdaten!$H$2)</f>
        <v/>
      </c>
      <c r="I322" s="7" t="str">
        <f>IF(B322&gt;Trainingsdaten!$H$3,"",I321+H322*N321*E322)</f>
        <v/>
      </c>
      <c r="J322" s="7" t="str">
        <f>IF(B322&gt;Trainingsdaten!$H$3,"",J321+H322*N321*F322)</f>
        <v/>
      </c>
      <c r="K322" s="7" t="str">
        <f>IF(B322&gt;Trainingsdaten!$H$3,"",K321+H322*N321)</f>
        <v/>
      </c>
      <c r="L322" s="7" t="str">
        <f>IF(B322&gt;Trainingsdaten!$H$3,"",E322*I322+F322*J322+K322)</f>
        <v/>
      </c>
      <c r="M322" s="7" t="str">
        <f>IF(B322&gt;Trainingsdaten!$H$3,"",IF(L322&gt;0,1,0))</f>
        <v/>
      </c>
      <c r="N322" s="7" t="str">
        <f>IF(B322&gt;Trainingsdaten!$H$3,"",G322-M322)</f>
        <v/>
      </c>
    </row>
    <row r="323" spans="1:14" x14ac:dyDescent="0.25">
      <c r="A323" s="9" t="str">
        <f>IF($B323&gt;Trainingsdaten!$H$3,"",MOD(ROW()-4,Trainingsdaten!$H$4)+1)</f>
        <v/>
      </c>
      <c r="B323" s="11" t="str">
        <f>IF(INT((ROW()-4)/Trainingsdaten!$H$4)+1&gt;Trainingsdaten!$H$3,"",INT((ROW()-4)/Trainingsdaten!$H$4)+1)</f>
        <v/>
      </c>
      <c r="C323" s="9" t="str">
        <f>IF(INT((ROW()-4)/Trainingsdaten!$H$4)+1&gt;Trainingsdaten!$H$3,"",MOD(ROW()-4,Trainingsdaten!$H$4)+1)</f>
        <v/>
      </c>
      <c r="D323" s="9" t="str">
        <f>IF($B323&gt;Trainingsdaten!$H$3,"",INDEX(Trainingsdaten!B:B,$C323+1))</f>
        <v/>
      </c>
      <c r="E323" s="7" t="str">
        <f>IF($B323&gt;Trainingsdaten!$H$3,"",INDEX(Trainingsdaten!C:C,$C323+1))</f>
        <v/>
      </c>
      <c r="F323" s="7" t="str">
        <f>IF($B323&gt;Trainingsdaten!$H$3,"",INDEX(Trainingsdaten!D:D,$C323+1))</f>
        <v/>
      </c>
      <c r="G323" s="7" t="str">
        <f>IF($B323&gt;Trainingsdaten!$H$3,"",INDEX(Trainingsdaten!E:E,$C323+1))</f>
        <v/>
      </c>
      <c r="H323" s="11" t="str">
        <f>IF($B323&gt;Trainingsdaten!$H$3,"",Trainingsdaten!$H$2)</f>
        <v/>
      </c>
      <c r="I323" s="7" t="str">
        <f>IF(B323&gt;Trainingsdaten!$H$3,"",I322+H323*N322*E323)</f>
        <v/>
      </c>
      <c r="J323" s="7" t="str">
        <f>IF(B323&gt;Trainingsdaten!$H$3,"",J322+H323*N322*F323)</f>
        <v/>
      </c>
      <c r="K323" s="7" t="str">
        <f>IF(B323&gt;Trainingsdaten!$H$3,"",K322+H323*N322)</f>
        <v/>
      </c>
      <c r="L323" s="7" t="str">
        <f>IF(B323&gt;Trainingsdaten!$H$3,"",E323*I323+F323*J323+K323)</f>
        <v/>
      </c>
      <c r="M323" s="7" t="str">
        <f>IF(B323&gt;Trainingsdaten!$H$3,"",IF(L323&gt;0,1,0))</f>
        <v/>
      </c>
      <c r="N323" s="7" t="str">
        <f>IF(B323&gt;Trainingsdaten!$H$3,"",G323-M323)</f>
        <v/>
      </c>
    </row>
    <row r="324" spans="1:14" x14ac:dyDescent="0.25">
      <c r="A324" s="9" t="str">
        <f>IF($B324&gt;Trainingsdaten!$H$3,"",MOD(ROW()-4,Trainingsdaten!$H$4)+1)</f>
        <v/>
      </c>
      <c r="B324" s="11" t="str">
        <f>IF(INT((ROW()-4)/Trainingsdaten!$H$4)+1&gt;Trainingsdaten!$H$3,"",INT((ROW()-4)/Trainingsdaten!$H$4)+1)</f>
        <v/>
      </c>
      <c r="C324" s="9" t="str">
        <f>IF(INT((ROW()-4)/Trainingsdaten!$H$4)+1&gt;Trainingsdaten!$H$3,"",MOD(ROW()-4,Trainingsdaten!$H$4)+1)</f>
        <v/>
      </c>
      <c r="D324" s="9" t="str">
        <f>IF($B324&gt;Trainingsdaten!$H$3,"",INDEX(Trainingsdaten!B:B,$C324+1))</f>
        <v/>
      </c>
      <c r="E324" s="7" t="str">
        <f>IF($B324&gt;Trainingsdaten!$H$3,"",INDEX(Trainingsdaten!C:C,$C324+1))</f>
        <v/>
      </c>
      <c r="F324" s="7" t="str">
        <f>IF($B324&gt;Trainingsdaten!$H$3,"",INDEX(Trainingsdaten!D:D,$C324+1))</f>
        <v/>
      </c>
      <c r="G324" s="7" t="str">
        <f>IF($B324&gt;Trainingsdaten!$H$3,"",INDEX(Trainingsdaten!E:E,$C324+1))</f>
        <v/>
      </c>
      <c r="H324" s="11" t="str">
        <f>IF($B324&gt;Trainingsdaten!$H$3,"",Trainingsdaten!$H$2)</f>
        <v/>
      </c>
      <c r="I324" s="7" t="str">
        <f>IF(B324&gt;Trainingsdaten!$H$3,"",I323+H324*N323*E324)</f>
        <v/>
      </c>
      <c r="J324" s="7" t="str">
        <f>IF(B324&gt;Trainingsdaten!$H$3,"",J323+H324*N323*F324)</f>
        <v/>
      </c>
      <c r="K324" s="7" t="str">
        <f>IF(B324&gt;Trainingsdaten!$H$3,"",K323+H324*N323)</f>
        <v/>
      </c>
      <c r="L324" s="7" t="str">
        <f>IF(B324&gt;Trainingsdaten!$H$3,"",E324*I324+F324*J324+K324)</f>
        <v/>
      </c>
      <c r="M324" s="7" t="str">
        <f>IF(B324&gt;Trainingsdaten!$H$3,"",IF(L324&gt;0,1,0))</f>
        <v/>
      </c>
      <c r="N324" s="7" t="str">
        <f>IF(B324&gt;Trainingsdaten!$H$3,"",G324-M324)</f>
        <v/>
      </c>
    </row>
    <row r="325" spans="1:14" x14ac:dyDescent="0.25">
      <c r="A325" s="9" t="str">
        <f>IF($B325&gt;Trainingsdaten!$H$3,"",MOD(ROW()-4,Trainingsdaten!$H$4)+1)</f>
        <v/>
      </c>
      <c r="B325" s="11" t="str">
        <f>IF(INT((ROW()-4)/Trainingsdaten!$H$4)+1&gt;Trainingsdaten!$H$3,"",INT((ROW()-4)/Trainingsdaten!$H$4)+1)</f>
        <v/>
      </c>
      <c r="C325" s="9" t="str">
        <f>IF(INT((ROW()-4)/Trainingsdaten!$H$4)+1&gt;Trainingsdaten!$H$3,"",MOD(ROW()-4,Trainingsdaten!$H$4)+1)</f>
        <v/>
      </c>
      <c r="D325" s="9" t="str">
        <f>IF($B325&gt;Trainingsdaten!$H$3,"",INDEX(Trainingsdaten!B:B,$C325+1))</f>
        <v/>
      </c>
      <c r="E325" s="7" t="str">
        <f>IF($B325&gt;Trainingsdaten!$H$3,"",INDEX(Trainingsdaten!C:C,$C325+1))</f>
        <v/>
      </c>
      <c r="F325" s="7" t="str">
        <f>IF($B325&gt;Trainingsdaten!$H$3,"",INDEX(Trainingsdaten!D:D,$C325+1))</f>
        <v/>
      </c>
      <c r="G325" s="7" t="str">
        <f>IF($B325&gt;Trainingsdaten!$H$3,"",INDEX(Trainingsdaten!E:E,$C325+1))</f>
        <v/>
      </c>
      <c r="H325" s="11" t="str">
        <f>IF($B325&gt;Trainingsdaten!$H$3,"",Trainingsdaten!$H$2)</f>
        <v/>
      </c>
      <c r="I325" s="7" t="str">
        <f>IF(B325&gt;Trainingsdaten!$H$3,"",I324+H325*N324*E325)</f>
        <v/>
      </c>
      <c r="J325" s="7" t="str">
        <f>IF(B325&gt;Trainingsdaten!$H$3,"",J324+H325*N324*F325)</f>
        <v/>
      </c>
      <c r="K325" s="7" t="str">
        <f>IF(B325&gt;Trainingsdaten!$H$3,"",K324+H325*N324)</f>
        <v/>
      </c>
      <c r="L325" s="7" t="str">
        <f>IF(B325&gt;Trainingsdaten!$H$3,"",E325*I325+F325*J325+K325)</f>
        <v/>
      </c>
      <c r="M325" s="7" t="str">
        <f>IF(B325&gt;Trainingsdaten!$H$3,"",IF(L325&gt;0,1,0))</f>
        <v/>
      </c>
      <c r="N325" s="7" t="str">
        <f>IF(B325&gt;Trainingsdaten!$H$3,"",G325-M325)</f>
        <v/>
      </c>
    </row>
    <row r="326" spans="1:14" x14ac:dyDescent="0.25">
      <c r="A326" s="9" t="str">
        <f>IF($B326&gt;Trainingsdaten!$H$3,"",MOD(ROW()-4,Trainingsdaten!$H$4)+1)</f>
        <v/>
      </c>
      <c r="B326" s="11" t="str">
        <f>IF(INT((ROW()-4)/Trainingsdaten!$H$4)+1&gt;Trainingsdaten!$H$3,"",INT((ROW()-4)/Trainingsdaten!$H$4)+1)</f>
        <v/>
      </c>
      <c r="C326" s="9" t="str">
        <f>IF(INT((ROW()-4)/Trainingsdaten!$H$4)+1&gt;Trainingsdaten!$H$3,"",MOD(ROW()-4,Trainingsdaten!$H$4)+1)</f>
        <v/>
      </c>
      <c r="D326" s="9" t="str">
        <f>IF($B326&gt;Trainingsdaten!$H$3,"",INDEX(Trainingsdaten!B:B,$C326+1))</f>
        <v/>
      </c>
      <c r="E326" s="7" t="str">
        <f>IF($B326&gt;Trainingsdaten!$H$3,"",INDEX(Trainingsdaten!C:C,$C326+1))</f>
        <v/>
      </c>
      <c r="F326" s="7" t="str">
        <f>IF($B326&gt;Trainingsdaten!$H$3,"",INDEX(Trainingsdaten!D:D,$C326+1))</f>
        <v/>
      </c>
      <c r="G326" s="7" t="str">
        <f>IF($B326&gt;Trainingsdaten!$H$3,"",INDEX(Trainingsdaten!E:E,$C326+1))</f>
        <v/>
      </c>
      <c r="H326" s="11" t="str">
        <f>IF($B326&gt;Trainingsdaten!$H$3,"",Trainingsdaten!$H$2)</f>
        <v/>
      </c>
      <c r="I326" s="7" t="str">
        <f>IF(B326&gt;Trainingsdaten!$H$3,"",I325+H326*N325*E326)</f>
        <v/>
      </c>
      <c r="J326" s="7" t="str">
        <f>IF(B326&gt;Trainingsdaten!$H$3,"",J325+H326*N325*F326)</f>
        <v/>
      </c>
      <c r="K326" s="7" t="str">
        <f>IF(B326&gt;Trainingsdaten!$H$3,"",K325+H326*N325)</f>
        <v/>
      </c>
      <c r="L326" s="7" t="str">
        <f>IF(B326&gt;Trainingsdaten!$H$3,"",E326*I326+F326*J326+K326)</f>
        <v/>
      </c>
      <c r="M326" s="7" t="str">
        <f>IF(B326&gt;Trainingsdaten!$H$3,"",IF(L326&gt;0,1,0))</f>
        <v/>
      </c>
      <c r="N326" s="7" t="str">
        <f>IF(B326&gt;Trainingsdaten!$H$3,"",G326-M326)</f>
        <v/>
      </c>
    </row>
    <row r="327" spans="1:14" x14ac:dyDescent="0.25">
      <c r="A327" s="9" t="str">
        <f>IF($B327&gt;Trainingsdaten!$H$3,"",MOD(ROW()-4,Trainingsdaten!$H$4)+1)</f>
        <v/>
      </c>
      <c r="B327" s="11" t="str">
        <f>IF(INT((ROW()-4)/Trainingsdaten!$H$4)+1&gt;Trainingsdaten!$H$3,"",INT((ROW()-4)/Trainingsdaten!$H$4)+1)</f>
        <v/>
      </c>
      <c r="C327" s="9" t="str">
        <f>IF(INT((ROW()-4)/Trainingsdaten!$H$4)+1&gt;Trainingsdaten!$H$3,"",MOD(ROW()-4,Trainingsdaten!$H$4)+1)</f>
        <v/>
      </c>
      <c r="D327" s="9" t="str">
        <f>IF($B327&gt;Trainingsdaten!$H$3,"",INDEX(Trainingsdaten!B:B,$C327+1))</f>
        <v/>
      </c>
      <c r="E327" s="7" t="str">
        <f>IF($B327&gt;Trainingsdaten!$H$3,"",INDEX(Trainingsdaten!C:C,$C327+1))</f>
        <v/>
      </c>
      <c r="F327" s="7" t="str">
        <f>IF($B327&gt;Trainingsdaten!$H$3,"",INDEX(Trainingsdaten!D:D,$C327+1))</f>
        <v/>
      </c>
      <c r="G327" s="7" t="str">
        <f>IF($B327&gt;Trainingsdaten!$H$3,"",INDEX(Trainingsdaten!E:E,$C327+1))</f>
        <v/>
      </c>
      <c r="H327" s="11" t="str">
        <f>IF($B327&gt;Trainingsdaten!$H$3,"",Trainingsdaten!$H$2)</f>
        <v/>
      </c>
      <c r="I327" s="7" t="str">
        <f>IF(B327&gt;Trainingsdaten!$H$3,"",I326+H327*N326*E327)</f>
        <v/>
      </c>
      <c r="J327" s="7" t="str">
        <f>IF(B327&gt;Trainingsdaten!$H$3,"",J326+H327*N326*F327)</f>
        <v/>
      </c>
      <c r="K327" s="7" t="str">
        <f>IF(B327&gt;Trainingsdaten!$H$3,"",K326+H327*N326)</f>
        <v/>
      </c>
      <c r="L327" s="7" t="str">
        <f>IF(B327&gt;Trainingsdaten!$H$3,"",E327*I327+F327*J327+K327)</f>
        <v/>
      </c>
      <c r="M327" s="7" t="str">
        <f>IF(B327&gt;Trainingsdaten!$H$3,"",IF(L327&gt;0,1,0))</f>
        <v/>
      </c>
      <c r="N327" s="7" t="str">
        <f>IF(B327&gt;Trainingsdaten!$H$3,"",G327-M327)</f>
        <v/>
      </c>
    </row>
    <row r="328" spans="1:14" x14ac:dyDescent="0.25">
      <c r="A328" s="9" t="str">
        <f>IF($B328&gt;Trainingsdaten!$H$3,"",MOD(ROW()-4,Trainingsdaten!$H$4)+1)</f>
        <v/>
      </c>
      <c r="B328" s="11" t="str">
        <f>IF(INT((ROW()-4)/Trainingsdaten!$H$4)+1&gt;Trainingsdaten!$H$3,"",INT((ROW()-4)/Trainingsdaten!$H$4)+1)</f>
        <v/>
      </c>
      <c r="C328" s="9" t="str">
        <f>IF(INT((ROW()-4)/Trainingsdaten!$H$4)+1&gt;Trainingsdaten!$H$3,"",MOD(ROW()-4,Trainingsdaten!$H$4)+1)</f>
        <v/>
      </c>
      <c r="D328" s="9" t="str">
        <f>IF($B328&gt;Trainingsdaten!$H$3,"",INDEX(Trainingsdaten!B:B,$C328+1))</f>
        <v/>
      </c>
      <c r="E328" s="7" t="str">
        <f>IF($B328&gt;Trainingsdaten!$H$3,"",INDEX(Trainingsdaten!C:C,$C328+1))</f>
        <v/>
      </c>
      <c r="F328" s="7" t="str">
        <f>IF($B328&gt;Trainingsdaten!$H$3,"",INDEX(Trainingsdaten!D:D,$C328+1))</f>
        <v/>
      </c>
      <c r="G328" s="7" t="str">
        <f>IF($B328&gt;Trainingsdaten!$H$3,"",INDEX(Trainingsdaten!E:E,$C328+1))</f>
        <v/>
      </c>
      <c r="H328" s="11" t="str">
        <f>IF($B328&gt;Trainingsdaten!$H$3,"",Trainingsdaten!$H$2)</f>
        <v/>
      </c>
      <c r="I328" s="7" t="str">
        <f>IF(B328&gt;Trainingsdaten!$H$3,"",I327+H328*N327*E328)</f>
        <v/>
      </c>
      <c r="J328" s="7" t="str">
        <f>IF(B328&gt;Trainingsdaten!$H$3,"",J327+H328*N327*F328)</f>
        <v/>
      </c>
      <c r="K328" s="7" t="str">
        <f>IF(B328&gt;Trainingsdaten!$H$3,"",K327+H328*N327)</f>
        <v/>
      </c>
      <c r="L328" s="7" t="str">
        <f>IF(B328&gt;Trainingsdaten!$H$3,"",E328*I328+F328*J328+K328)</f>
        <v/>
      </c>
      <c r="M328" s="7" t="str">
        <f>IF(B328&gt;Trainingsdaten!$H$3,"",IF(L328&gt;0,1,0))</f>
        <v/>
      </c>
      <c r="N328" s="7" t="str">
        <f>IF(B328&gt;Trainingsdaten!$H$3,"",G328-M328)</f>
        <v/>
      </c>
    </row>
    <row r="329" spans="1:14" x14ac:dyDescent="0.25">
      <c r="A329" s="9" t="str">
        <f>IF($B329&gt;Trainingsdaten!$H$3,"",MOD(ROW()-4,Trainingsdaten!$H$4)+1)</f>
        <v/>
      </c>
      <c r="B329" s="11" t="str">
        <f>IF(INT((ROW()-4)/Trainingsdaten!$H$4)+1&gt;Trainingsdaten!$H$3,"",INT((ROW()-4)/Trainingsdaten!$H$4)+1)</f>
        <v/>
      </c>
      <c r="C329" s="9" t="str">
        <f>IF(INT((ROW()-4)/Trainingsdaten!$H$4)+1&gt;Trainingsdaten!$H$3,"",MOD(ROW()-4,Trainingsdaten!$H$4)+1)</f>
        <v/>
      </c>
      <c r="D329" s="9" t="str">
        <f>IF($B329&gt;Trainingsdaten!$H$3,"",INDEX(Trainingsdaten!B:B,$C329+1))</f>
        <v/>
      </c>
      <c r="E329" s="7" t="str">
        <f>IF($B329&gt;Trainingsdaten!$H$3,"",INDEX(Trainingsdaten!C:C,$C329+1))</f>
        <v/>
      </c>
      <c r="F329" s="7" t="str">
        <f>IF($B329&gt;Trainingsdaten!$H$3,"",INDEX(Trainingsdaten!D:D,$C329+1))</f>
        <v/>
      </c>
      <c r="G329" s="7" t="str">
        <f>IF($B329&gt;Trainingsdaten!$H$3,"",INDEX(Trainingsdaten!E:E,$C329+1))</f>
        <v/>
      </c>
      <c r="H329" s="11" t="str">
        <f>IF($B329&gt;Trainingsdaten!$H$3,"",Trainingsdaten!$H$2)</f>
        <v/>
      </c>
      <c r="I329" s="7" t="str">
        <f>IF(B329&gt;Trainingsdaten!$H$3,"",I328+H329*N328*E329)</f>
        <v/>
      </c>
      <c r="J329" s="7" t="str">
        <f>IF(B329&gt;Trainingsdaten!$H$3,"",J328+H329*N328*F329)</f>
        <v/>
      </c>
      <c r="K329" s="7" t="str">
        <f>IF(B329&gt;Trainingsdaten!$H$3,"",K328+H329*N328)</f>
        <v/>
      </c>
      <c r="L329" s="7" t="str">
        <f>IF(B329&gt;Trainingsdaten!$H$3,"",E329*I329+F329*J329+K329)</f>
        <v/>
      </c>
      <c r="M329" s="7" t="str">
        <f>IF(B329&gt;Trainingsdaten!$H$3,"",IF(L329&gt;0,1,0))</f>
        <v/>
      </c>
      <c r="N329" s="7" t="str">
        <f>IF(B329&gt;Trainingsdaten!$H$3,"",G329-M329)</f>
        <v/>
      </c>
    </row>
    <row r="330" spans="1:14" x14ac:dyDescent="0.25">
      <c r="A330" s="9" t="str">
        <f>IF($B330&gt;Trainingsdaten!$H$3,"",MOD(ROW()-4,Trainingsdaten!$H$4)+1)</f>
        <v/>
      </c>
      <c r="B330" s="11" t="str">
        <f>IF(INT((ROW()-4)/Trainingsdaten!$H$4)+1&gt;Trainingsdaten!$H$3,"",INT((ROW()-4)/Trainingsdaten!$H$4)+1)</f>
        <v/>
      </c>
      <c r="C330" s="9" t="str">
        <f>IF(INT((ROW()-4)/Trainingsdaten!$H$4)+1&gt;Trainingsdaten!$H$3,"",MOD(ROW()-4,Trainingsdaten!$H$4)+1)</f>
        <v/>
      </c>
      <c r="D330" s="9" t="str">
        <f>IF($B330&gt;Trainingsdaten!$H$3,"",INDEX(Trainingsdaten!B:B,$C330+1))</f>
        <v/>
      </c>
      <c r="E330" s="7" t="str">
        <f>IF($B330&gt;Trainingsdaten!$H$3,"",INDEX(Trainingsdaten!C:C,$C330+1))</f>
        <v/>
      </c>
      <c r="F330" s="7" t="str">
        <f>IF($B330&gt;Trainingsdaten!$H$3,"",INDEX(Trainingsdaten!D:D,$C330+1))</f>
        <v/>
      </c>
      <c r="G330" s="7" t="str">
        <f>IF($B330&gt;Trainingsdaten!$H$3,"",INDEX(Trainingsdaten!E:E,$C330+1))</f>
        <v/>
      </c>
      <c r="H330" s="11" t="str">
        <f>IF($B330&gt;Trainingsdaten!$H$3,"",Trainingsdaten!$H$2)</f>
        <v/>
      </c>
      <c r="I330" s="7" t="str">
        <f>IF(B330&gt;Trainingsdaten!$H$3,"",I329+H330*N329*E330)</f>
        <v/>
      </c>
      <c r="J330" s="7" t="str">
        <f>IF(B330&gt;Trainingsdaten!$H$3,"",J329+H330*N329*F330)</f>
        <v/>
      </c>
      <c r="K330" s="7" t="str">
        <f>IF(B330&gt;Trainingsdaten!$H$3,"",K329+H330*N329)</f>
        <v/>
      </c>
      <c r="L330" s="7" t="str">
        <f>IF(B330&gt;Trainingsdaten!$H$3,"",E330*I330+F330*J330+K330)</f>
        <v/>
      </c>
      <c r="M330" s="7" t="str">
        <f>IF(B330&gt;Trainingsdaten!$H$3,"",IF(L330&gt;0,1,0))</f>
        <v/>
      </c>
      <c r="N330" s="7" t="str">
        <f>IF(B330&gt;Trainingsdaten!$H$3,"",G330-M330)</f>
        <v/>
      </c>
    </row>
    <row r="331" spans="1:14" x14ac:dyDescent="0.25">
      <c r="A331" s="9" t="str">
        <f>IF($B331&gt;Trainingsdaten!$H$3,"",MOD(ROW()-4,Trainingsdaten!$H$4)+1)</f>
        <v/>
      </c>
      <c r="B331" s="11" t="str">
        <f>IF(INT((ROW()-4)/Trainingsdaten!$H$4)+1&gt;Trainingsdaten!$H$3,"",INT((ROW()-4)/Trainingsdaten!$H$4)+1)</f>
        <v/>
      </c>
      <c r="C331" s="9" t="str">
        <f>IF(INT((ROW()-4)/Trainingsdaten!$H$4)+1&gt;Trainingsdaten!$H$3,"",MOD(ROW()-4,Trainingsdaten!$H$4)+1)</f>
        <v/>
      </c>
      <c r="D331" s="9" t="str">
        <f>IF($B331&gt;Trainingsdaten!$H$3,"",INDEX(Trainingsdaten!B:B,$C331+1))</f>
        <v/>
      </c>
      <c r="E331" s="7" t="str">
        <f>IF($B331&gt;Trainingsdaten!$H$3,"",INDEX(Trainingsdaten!C:C,$C331+1))</f>
        <v/>
      </c>
      <c r="F331" s="7" t="str">
        <f>IF($B331&gt;Trainingsdaten!$H$3,"",INDEX(Trainingsdaten!D:D,$C331+1))</f>
        <v/>
      </c>
      <c r="G331" s="7" t="str">
        <f>IF($B331&gt;Trainingsdaten!$H$3,"",INDEX(Trainingsdaten!E:E,$C331+1))</f>
        <v/>
      </c>
      <c r="H331" s="11" t="str">
        <f>IF($B331&gt;Trainingsdaten!$H$3,"",Trainingsdaten!$H$2)</f>
        <v/>
      </c>
      <c r="I331" s="7" t="str">
        <f>IF(B331&gt;Trainingsdaten!$H$3,"",I330+H331*N330*E331)</f>
        <v/>
      </c>
      <c r="J331" s="7" t="str">
        <f>IF(B331&gt;Trainingsdaten!$H$3,"",J330+H331*N330*F331)</f>
        <v/>
      </c>
      <c r="K331" s="7" t="str">
        <f>IF(B331&gt;Trainingsdaten!$H$3,"",K330+H331*N330)</f>
        <v/>
      </c>
      <c r="L331" s="7" t="str">
        <f>IF(B331&gt;Trainingsdaten!$H$3,"",E331*I331+F331*J331+K331)</f>
        <v/>
      </c>
      <c r="M331" s="7" t="str">
        <f>IF(B331&gt;Trainingsdaten!$H$3,"",IF(L331&gt;0,1,0))</f>
        <v/>
      </c>
      <c r="N331" s="7" t="str">
        <f>IF(B331&gt;Trainingsdaten!$H$3,"",G331-M331)</f>
        <v/>
      </c>
    </row>
    <row r="332" spans="1:14" x14ac:dyDescent="0.25">
      <c r="A332" s="9" t="str">
        <f>IF($B332&gt;Trainingsdaten!$H$3,"",MOD(ROW()-4,Trainingsdaten!$H$4)+1)</f>
        <v/>
      </c>
      <c r="B332" s="11" t="str">
        <f>IF(INT((ROW()-4)/Trainingsdaten!$H$4)+1&gt;Trainingsdaten!$H$3,"",INT((ROW()-4)/Trainingsdaten!$H$4)+1)</f>
        <v/>
      </c>
      <c r="C332" s="9" t="str">
        <f>IF(INT((ROW()-4)/Trainingsdaten!$H$4)+1&gt;Trainingsdaten!$H$3,"",MOD(ROW()-4,Trainingsdaten!$H$4)+1)</f>
        <v/>
      </c>
      <c r="D332" s="9" t="str">
        <f>IF($B332&gt;Trainingsdaten!$H$3,"",INDEX(Trainingsdaten!B:B,$C332+1))</f>
        <v/>
      </c>
      <c r="E332" s="7" t="str">
        <f>IF($B332&gt;Trainingsdaten!$H$3,"",INDEX(Trainingsdaten!C:C,$C332+1))</f>
        <v/>
      </c>
      <c r="F332" s="7" t="str">
        <f>IF($B332&gt;Trainingsdaten!$H$3,"",INDEX(Trainingsdaten!D:D,$C332+1))</f>
        <v/>
      </c>
      <c r="G332" s="7" t="str">
        <f>IF($B332&gt;Trainingsdaten!$H$3,"",INDEX(Trainingsdaten!E:E,$C332+1))</f>
        <v/>
      </c>
      <c r="H332" s="11" t="str">
        <f>IF($B332&gt;Trainingsdaten!$H$3,"",Trainingsdaten!$H$2)</f>
        <v/>
      </c>
      <c r="I332" s="7" t="str">
        <f>IF(B332&gt;Trainingsdaten!$H$3,"",I331+H332*N331*E332)</f>
        <v/>
      </c>
      <c r="J332" s="7" t="str">
        <f>IF(B332&gt;Trainingsdaten!$H$3,"",J331+H332*N331*F332)</f>
        <v/>
      </c>
      <c r="K332" s="7" t="str">
        <f>IF(B332&gt;Trainingsdaten!$H$3,"",K331+H332*N331)</f>
        <v/>
      </c>
      <c r="L332" s="7" t="str">
        <f>IF(B332&gt;Trainingsdaten!$H$3,"",E332*I332+F332*J332+K332)</f>
        <v/>
      </c>
      <c r="M332" s="7" t="str">
        <f>IF(B332&gt;Trainingsdaten!$H$3,"",IF(L332&gt;0,1,0))</f>
        <v/>
      </c>
      <c r="N332" s="7" t="str">
        <f>IF(B332&gt;Trainingsdaten!$H$3,"",G332-M332)</f>
        <v/>
      </c>
    </row>
    <row r="333" spans="1:14" x14ac:dyDescent="0.25">
      <c r="A333" s="9" t="str">
        <f>IF($B333&gt;Trainingsdaten!$H$3,"",MOD(ROW()-4,Trainingsdaten!$H$4)+1)</f>
        <v/>
      </c>
      <c r="B333" s="11" t="str">
        <f>IF(INT((ROW()-4)/Trainingsdaten!$H$4)+1&gt;Trainingsdaten!$H$3,"",INT((ROW()-4)/Trainingsdaten!$H$4)+1)</f>
        <v/>
      </c>
      <c r="C333" s="9" t="str">
        <f>IF(INT((ROW()-4)/Trainingsdaten!$H$4)+1&gt;Trainingsdaten!$H$3,"",MOD(ROW()-4,Trainingsdaten!$H$4)+1)</f>
        <v/>
      </c>
      <c r="D333" s="9" t="str">
        <f>IF($B333&gt;Trainingsdaten!$H$3,"",INDEX(Trainingsdaten!B:B,$C333+1))</f>
        <v/>
      </c>
      <c r="E333" s="7" t="str">
        <f>IF($B333&gt;Trainingsdaten!$H$3,"",INDEX(Trainingsdaten!C:C,$C333+1))</f>
        <v/>
      </c>
      <c r="F333" s="7" t="str">
        <f>IF($B333&gt;Trainingsdaten!$H$3,"",INDEX(Trainingsdaten!D:D,$C333+1))</f>
        <v/>
      </c>
      <c r="G333" s="7" t="str">
        <f>IF($B333&gt;Trainingsdaten!$H$3,"",INDEX(Trainingsdaten!E:E,$C333+1))</f>
        <v/>
      </c>
      <c r="H333" s="11" t="str">
        <f>IF($B333&gt;Trainingsdaten!$H$3,"",Trainingsdaten!$H$2)</f>
        <v/>
      </c>
      <c r="I333" s="7" t="str">
        <f>IF(B333&gt;Trainingsdaten!$H$3,"",I332+H333*N332*E333)</f>
        <v/>
      </c>
      <c r="J333" s="7" t="str">
        <f>IF(B333&gt;Trainingsdaten!$H$3,"",J332+H333*N332*F333)</f>
        <v/>
      </c>
      <c r="K333" s="7" t="str">
        <f>IF(B333&gt;Trainingsdaten!$H$3,"",K332+H333*N332)</f>
        <v/>
      </c>
      <c r="L333" s="7" t="str">
        <f>IF(B333&gt;Trainingsdaten!$H$3,"",E333*I333+F333*J333+K333)</f>
        <v/>
      </c>
      <c r="M333" s="7" t="str">
        <f>IF(B333&gt;Trainingsdaten!$H$3,"",IF(L333&gt;0,1,0))</f>
        <v/>
      </c>
      <c r="N333" s="7" t="str">
        <f>IF(B333&gt;Trainingsdaten!$H$3,"",G333-M333)</f>
        <v/>
      </c>
    </row>
    <row r="334" spans="1:14" x14ac:dyDescent="0.25">
      <c r="A334" s="9" t="str">
        <f>IF($B334&gt;Trainingsdaten!$H$3,"",MOD(ROW()-4,Trainingsdaten!$H$4)+1)</f>
        <v/>
      </c>
      <c r="B334" s="11" t="str">
        <f>IF(INT((ROW()-4)/Trainingsdaten!$H$4)+1&gt;Trainingsdaten!$H$3,"",INT((ROW()-4)/Trainingsdaten!$H$4)+1)</f>
        <v/>
      </c>
      <c r="C334" s="9" t="str">
        <f>IF(INT((ROW()-4)/Trainingsdaten!$H$4)+1&gt;Trainingsdaten!$H$3,"",MOD(ROW()-4,Trainingsdaten!$H$4)+1)</f>
        <v/>
      </c>
      <c r="D334" s="9" t="str">
        <f>IF($B334&gt;Trainingsdaten!$H$3,"",INDEX(Trainingsdaten!B:B,$C334+1))</f>
        <v/>
      </c>
      <c r="E334" s="7" t="str">
        <f>IF($B334&gt;Trainingsdaten!$H$3,"",INDEX(Trainingsdaten!C:C,$C334+1))</f>
        <v/>
      </c>
      <c r="F334" s="7" t="str">
        <f>IF($B334&gt;Trainingsdaten!$H$3,"",INDEX(Trainingsdaten!D:D,$C334+1))</f>
        <v/>
      </c>
      <c r="G334" s="7" t="str">
        <f>IF($B334&gt;Trainingsdaten!$H$3,"",INDEX(Trainingsdaten!E:E,$C334+1))</f>
        <v/>
      </c>
      <c r="H334" s="11" t="str">
        <f>IF($B334&gt;Trainingsdaten!$H$3,"",Trainingsdaten!$H$2)</f>
        <v/>
      </c>
      <c r="I334" s="7" t="str">
        <f>IF(B334&gt;Trainingsdaten!$H$3,"",I333+H334*N333*E334)</f>
        <v/>
      </c>
      <c r="J334" s="7" t="str">
        <f>IF(B334&gt;Trainingsdaten!$H$3,"",J333+H334*N333*F334)</f>
        <v/>
      </c>
      <c r="K334" s="7" t="str">
        <f>IF(B334&gt;Trainingsdaten!$H$3,"",K333+H334*N333)</f>
        <v/>
      </c>
      <c r="L334" s="7" t="str">
        <f>IF(B334&gt;Trainingsdaten!$H$3,"",E334*I334+F334*J334+K334)</f>
        <v/>
      </c>
      <c r="M334" s="7" t="str">
        <f>IF(B334&gt;Trainingsdaten!$H$3,"",IF(L334&gt;0,1,0))</f>
        <v/>
      </c>
      <c r="N334" s="7" t="str">
        <f>IF(B334&gt;Trainingsdaten!$H$3,"",G334-M334)</f>
        <v/>
      </c>
    </row>
    <row r="335" spans="1:14" x14ac:dyDescent="0.25">
      <c r="A335" s="9" t="str">
        <f>IF($B335&gt;Trainingsdaten!$H$3,"",MOD(ROW()-4,Trainingsdaten!$H$4)+1)</f>
        <v/>
      </c>
      <c r="B335" s="11" t="str">
        <f>IF(INT((ROW()-4)/Trainingsdaten!$H$4)+1&gt;Trainingsdaten!$H$3,"",INT((ROW()-4)/Trainingsdaten!$H$4)+1)</f>
        <v/>
      </c>
      <c r="C335" s="9" t="str">
        <f>IF(INT((ROW()-4)/Trainingsdaten!$H$4)+1&gt;Trainingsdaten!$H$3,"",MOD(ROW()-4,Trainingsdaten!$H$4)+1)</f>
        <v/>
      </c>
      <c r="D335" s="9" t="str">
        <f>IF($B335&gt;Trainingsdaten!$H$3,"",INDEX(Trainingsdaten!B:B,$C335+1))</f>
        <v/>
      </c>
      <c r="E335" s="7" t="str">
        <f>IF($B335&gt;Trainingsdaten!$H$3,"",INDEX(Trainingsdaten!C:C,$C335+1))</f>
        <v/>
      </c>
      <c r="F335" s="7" t="str">
        <f>IF($B335&gt;Trainingsdaten!$H$3,"",INDEX(Trainingsdaten!D:D,$C335+1))</f>
        <v/>
      </c>
      <c r="G335" s="7" t="str">
        <f>IF($B335&gt;Trainingsdaten!$H$3,"",INDEX(Trainingsdaten!E:E,$C335+1))</f>
        <v/>
      </c>
      <c r="H335" s="11" t="str">
        <f>IF($B335&gt;Trainingsdaten!$H$3,"",Trainingsdaten!$H$2)</f>
        <v/>
      </c>
      <c r="I335" s="7" t="str">
        <f>IF(B335&gt;Trainingsdaten!$H$3,"",I334+H335*N334*E335)</f>
        <v/>
      </c>
      <c r="J335" s="7" t="str">
        <f>IF(B335&gt;Trainingsdaten!$H$3,"",J334+H335*N334*F335)</f>
        <v/>
      </c>
      <c r="K335" s="7" t="str">
        <f>IF(B335&gt;Trainingsdaten!$H$3,"",K334+H335*N334)</f>
        <v/>
      </c>
      <c r="L335" s="7" t="str">
        <f>IF(B335&gt;Trainingsdaten!$H$3,"",E335*I335+F335*J335+K335)</f>
        <v/>
      </c>
      <c r="M335" s="7" t="str">
        <f>IF(B335&gt;Trainingsdaten!$H$3,"",IF(L335&gt;0,1,0))</f>
        <v/>
      </c>
      <c r="N335" s="7" t="str">
        <f>IF(B335&gt;Trainingsdaten!$H$3,"",G335-M335)</f>
        <v/>
      </c>
    </row>
    <row r="336" spans="1:14" x14ac:dyDescent="0.25">
      <c r="A336" s="9" t="str">
        <f>IF($B336&gt;Trainingsdaten!$H$3,"",MOD(ROW()-4,Trainingsdaten!$H$4)+1)</f>
        <v/>
      </c>
      <c r="B336" s="11" t="str">
        <f>IF(INT((ROW()-4)/Trainingsdaten!$H$4)+1&gt;Trainingsdaten!$H$3,"",INT((ROW()-4)/Trainingsdaten!$H$4)+1)</f>
        <v/>
      </c>
      <c r="C336" s="9" t="str">
        <f>IF(INT((ROW()-4)/Trainingsdaten!$H$4)+1&gt;Trainingsdaten!$H$3,"",MOD(ROW()-4,Trainingsdaten!$H$4)+1)</f>
        <v/>
      </c>
      <c r="D336" s="9" t="str">
        <f>IF($B336&gt;Trainingsdaten!$H$3,"",INDEX(Trainingsdaten!B:B,$C336+1))</f>
        <v/>
      </c>
      <c r="E336" s="7" t="str">
        <f>IF($B336&gt;Trainingsdaten!$H$3,"",INDEX(Trainingsdaten!C:C,$C336+1))</f>
        <v/>
      </c>
      <c r="F336" s="7" t="str">
        <f>IF($B336&gt;Trainingsdaten!$H$3,"",INDEX(Trainingsdaten!D:D,$C336+1))</f>
        <v/>
      </c>
      <c r="G336" s="7" t="str">
        <f>IF($B336&gt;Trainingsdaten!$H$3,"",INDEX(Trainingsdaten!E:E,$C336+1))</f>
        <v/>
      </c>
      <c r="H336" s="11" t="str">
        <f>IF($B336&gt;Trainingsdaten!$H$3,"",Trainingsdaten!$H$2)</f>
        <v/>
      </c>
      <c r="I336" s="7" t="str">
        <f>IF(B336&gt;Trainingsdaten!$H$3,"",I335+H336*N335*E336)</f>
        <v/>
      </c>
      <c r="J336" s="7" t="str">
        <f>IF(B336&gt;Trainingsdaten!$H$3,"",J335+H336*N335*F336)</f>
        <v/>
      </c>
      <c r="K336" s="7" t="str">
        <f>IF(B336&gt;Trainingsdaten!$H$3,"",K335+H336*N335)</f>
        <v/>
      </c>
      <c r="L336" s="7" t="str">
        <f>IF(B336&gt;Trainingsdaten!$H$3,"",E336*I336+F336*J336+K336)</f>
        <v/>
      </c>
      <c r="M336" s="7" t="str">
        <f>IF(B336&gt;Trainingsdaten!$H$3,"",IF(L336&gt;0,1,0))</f>
        <v/>
      </c>
      <c r="N336" s="7" t="str">
        <f>IF(B336&gt;Trainingsdaten!$H$3,"",G336-M336)</f>
        <v/>
      </c>
    </row>
    <row r="337" spans="1:14" x14ac:dyDescent="0.25">
      <c r="A337" s="9" t="str">
        <f>IF($B337&gt;Trainingsdaten!$H$3,"",MOD(ROW()-4,Trainingsdaten!$H$4)+1)</f>
        <v/>
      </c>
      <c r="B337" s="11" t="str">
        <f>IF(INT((ROW()-4)/Trainingsdaten!$H$4)+1&gt;Trainingsdaten!$H$3,"",INT((ROW()-4)/Trainingsdaten!$H$4)+1)</f>
        <v/>
      </c>
      <c r="C337" s="9" t="str">
        <f>IF(INT((ROW()-4)/Trainingsdaten!$H$4)+1&gt;Trainingsdaten!$H$3,"",MOD(ROW()-4,Trainingsdaten!$H$4)+1)</f>
        <v/>
      </c>
      <c r="D337" s="9" t="str">
        <f>IF($B337&gt;Trainingsdaten!$H$3,"",INDEX(Trainingsdaten!B:B,$C337+1))</f>
        <v/>
      </c>
      <c r="E337" s="7" t="str">
        <f>IF($B337&gt;Trainingsdaten!$H$3,"",INDEX(Trainingsdaten!C:C,$C337+1))</f>
        <v/>
      </c>
      <c r="F337" s="7" t="str">
        <f>IF($B337&gt;Trainingsdaten!$H$3,"",INDEX(Trainingsdaten!D:D,$C337+1))</f>
        <v/>
      </c>
      <c r="G337" s="7" t="str">
        <f>IF($B337&gt;Trainingsdaten!$H$3,"",INDEX(Trainingsdaten!E:E,$C337+1))</f>
        <v/>
      </c>
      <c r="H337" s="11" t="str">
        <f>IF($B337&gt;Trainingsdaten!$H$3,"",Trainingsdaten!$H$2)</f>
        <v/>
      </c>
      <c r="I337" s="7" t="str">
        <f>IF(B337&gt;Trainingsdaten!$H$3,"",I336+H337*N336*E337)</f>
        <v/>
      </c>
      <c r="J337" s="7" t="str">
        <f>IF(B337&gt;Trainingsdaten!$H$3,"",J336+H337*N336*F337)</f>
        <v/>
      </c>
      <c r="K337" s="7" t="str">
        <f>IF(B337&gt;Trainingsdaten!$H$3,"",K336+H337*N336)</f>
        <v/>
      </c>
      <c r="L337" s="7" t="str">
        <f>IF(B337&gt;Trainingsdaten!$H$3,"",E337*I337+F337*J337+K337)</f>
        <v/>
      </c>
      <c r="M337" s="7" t="str">
        <f>IF(B337&gt;Trainingsdaten!$H$3,"",IF(L337&gt;0,1,0))</f>
        <v/>
      </c>
      <c r="N337" s="7" t="str">
        <f>IF(B337&gt;Trainingsdaten!$H$3,"",G337-M337)</f>
        <v/>
      </c>
    </row>
    <row r="338" spans="1:14" x14ac:dyDescent="0.25">
      <c r="A338" s="9" t="str">
        <f>IF($B338&gt;Trainingsdaten!$H$3,"",MOD(ROW()-4,Trainingsdaten!$H$4)+1)</f>
        <v/>
      </c>
      <c r="B338" s="11" t="str">
        <f>IF(INT((ROW()-4)/Trainingsdaten!$H$4)+1&gt;Trainingsdaten!$H$3,"",INT((ROW()-4)/Trainingsdaten!$H$4)+1)</f>
        <v/>
      </c>
      <c r="C338" s="9" t="str">
        <f>IF(INT((ROW()-4)/Trainingsdaten!$H$4)+1&gt;Trainingsdaten!$H$3,"",MOD(ROW()-4,Trainingsdaten!$H$4)+1)</f>
        <v/>
      </c>
      <c r="D338" s="9" t="str">
        <f>IF($B338&gt;Trainingsdaten!$H$3,"",INDEX(Trainingsdaten!B:B,$C338+1))</f>
        <v/>
      </c>
      <c r="E338" s="7" t="str">
        <f>IF($B338&gt;Trainingsdaten!$H$3,"",INDEX(Trainingsdaten!C:C,$C338+1))</f>
        <v/>
      </c>
      <c r="F338" s="7" t="str">
        <f>IF($B338&gt;Trainingsdaten!$H$3,"",INDEX(Trainingsdaten!D:D,$C338+1))</f>
        <v/>
      </c>
      <c r="G338" s="7" t="str">
        <f>IF($B338&gt;Trainingsdaten!$H$3,"",INDEX(Trainingsdaten!E:E,$C338+1))</f>
        <v/>
      </c>
      <c r="H338" s="11" t="str">
        <f>IF($B338&gt;Trainingsdaten!$H$3,"",Trainingsdaten!$H$2)</f>
        <v/>
      </c>
      <c r="I338" s="7" t="str">
        <f>IF(B338&gt;Trainingsdaten!$H$3,"",I337+H338*N337*E338)</f>
        <v/>
      </c>
      <c r="J338" s="7" t="str">
        <f>IF(B338&gt;Trainingsdaten!$H$3,"",J337+H338*N337*F338)</f>
        <v/>
      </c>
      <c r="K338" s="7" t="str">
        <f>IF(B338&gt;Trainingsdaten!$H$3,"",K337+H338*N337)</f>
        <v/>
      </c>
      <c r="L338" s="7" t="str">
        <f>IF(B338&gt;Trainingsdaten!$H$3,"",E338*I338+F338*J338+K338)</f>
        <v/>
      </c>
      <c r="M338" s="7" t="str">
        <f>IF(B338&gt;Trainingsdaten!$H$3,"",IF(L338&gt;0,1,0))</f>
        <v/>
      </c>
      <c r="N338" s="7" t="str">
        <f>IF(B338&gt;Trainingsdaten!$H$3,"",G338-M338)</f>
        <v/>
      </c>
    </row>
    <row r="339" spans="1:14" x14ac:dyDescent="0.25">
      <c r="A339" s="9" t="str">
        <f>IF($B339&gt;Trainingsdaten!$H$3,"",MOD(ROW()-4,Trainingsdaten!$H$4)+1)</f>
        <v/>
      </c>
      <c r="B339" s="11" t="str">
        <f>IF(INT((ROW()-4)/Trainingsdaten!$H$4)+1&gt;Trainingsdaten!$H$3,"",INT((ROW()-4)/Trainingsdaten!$H$4)+1)</f>
        <v/>
      </c>
      <c r="C339" s="9" t="str">
        <f>IF(INT((ROW()-4)/Trainingsdaten!$H$4)+1&gt;Trainingsdaten!$H$3,"",MOD(ROW()-4,Trainingsdaten!$H$4)+1)</f>
        <v/>
      </c>
      <c r="D339" s="9" t="str">
        <f>IF($B339&gt;Trainingsdaten!$H$3,"",INDEX(Trainingsdaten!B:B,$C339+1))</f>
        <v/>
      </c>
      <c r="E339" s="7" t="str">
        <f>IF($B339&gt;Trainingsdaten!$H$3,"",INDEX(Trainingsdaten!C:C,$C339+1))</f>
        <v/>
      </c>
      <c r="F339" s="7" t="str">
        <f>IF($B339&gt;Trainingsdaten!$H$3,"",INDEX(Trainingsdaten!D:D,$C339+1))</f>
        <v/>
      </c>
      <c r="G339" s="7" t="str">
        <f>IF($B339&gt;Trainingsdaten!$H$3,"",INDEX(Trainingsdaten!E:E,$C339+1))</f>
        <v/>
      </c>
      <c r="H339" s="11" t="str">
        <f>IF($B339&gt;Trainingsdaten!$H$3,"",Trainingsdaten!$H$2)</f>
        <v/>
      </c>
      <c r="I339" s="7" t="str">
        <f>IF(B339&gt;Trainingsdaten!$H$3,"",I338+H339*N338*E339)</f>
        <v/>
      </c>
      <c r="J339" s="7" t="str">
        <f>IF(B339&gt;Trainingsdaten!$H$3,"",J338+H339*N338*F339)</f>
        <v/>
      </c>
      <c r="K339" s="7" t="str">
        <f>IF(B339&gt;Trainingsdaten!$H$3,"",K338+H339*N338)</f>
        <v/>
      </c>
      <c r="L339" s="7" t="str">
        <f>IF(B339&gt;Trainingsdaten!$H$3,"",E339*I339+F339*J339+K339)</f>
        <v/>
      </c>
      <c r="M339" s="7" t="str">
        <f>IF(B339&gt;Trainingsdaten!$H$3,"",IF(L339&gt;0,1,0))</f>
        <v/>
      </c>
      <c r="N339" s="7" t="str">
        <f>IF(B339&gt;Trainingsdaten!$H$3,"",G339-M339)</f>
        <v/>
      </c>
    </row>
    <row r="340" spans="1:14" x14ac:dyDescent="0.25">
      <c r="A340" s="9" t="str">
        <f>IF($B340&gt;Trainingsdaten!$H$3,"",MOD(ROW()-4,Trainingsdaten!$H$4)+1)</f>
        <v/>
      </c>
      <c r="B340" s="11" t="str">
        <f>IF(INT((ROW()-4)/Trainingsdaten!$H$4)+1&gt;Trainingsdaten!$H$3,"",INT((ROW()-4)/Trainingsdaten!$H$4)+1)</f>
        <v/>
      </c>
      <c r="C340" s="9" t="str">
        <f>IF(INT((ROW()-4)/Trainingsdaten!$H$4)+1&gt;Trainingsdaten!$H$3,"",MOD(ROW()-4,Trainingsdaten!$H$4)+1)</f>
        <v/>
      </c>
      <c r="D340" s="9" t="str">
        <f>IF($B340&gt;Trainingsdaten!$H$3,"",INDEX(Trainingsdaten!B:B,$C340+1))</f>
        <v/>
      </c>
      <c r="E340" s="7" t="str">
        <f>IF($B340&gt;Trainingsdaten!$H$3,"",INDEX(Trainingsdaten!C:C,$C340+1))</f>
        <v/>
      </c>
      <c r="F340" s="7" t="str">
        <f>IF($B340&gt;Trainingsdaten!$H$3,"",INDEX(Trainingsdaten!D:D,$C340+1))</f>
        <v/>
      </c>
      <c r="G340" s="7" t="str">
        <f>IF($B340&gt;Trainingsdaten!$H$3,"",INDEX(Trainingsdaten!E:E,$C340+1))</f>
        <v/>
      </c>
      <c r="H340" s="11" t="str">
        <f>IF($B340&gt;Trainingsdaten!$H$3,"",Trainingsdaten!$H$2)</f>
        <v/>
      </c>
      <c r="I340" s="7" t="str">
        <f>IF(B340&gt;Trainingsdaten!$H$3,"",I339+H340*N339*E340)</f>
        <v/>
      </c>
      <c r="J340" s="7" t="str">
        <f>IF(B340&gt;Trainingsdaten!$H$3,"",J339+H340*N339*F340)</f>
        <v/>
      </c>
      <c r="K340" s="7" t="str">
        <f>IF(B340&gt;Trainingsdaten!$H$3,"",K339+H340*N339)</f>
        <v/>
      </c>
      <c r="L340" s="7" t="str">
        <f>IF(B340&gt;Trainingsdaten!$H$3,"",E340*I340+F340*J340+K340)</f>
        <v/>
      </c>
      <c r="M340" s="7" t="str">
        <f>IF(B340&gt;Trainingsdaten!$H$3,"",IF(L340&gt;0,1,0))</f>
        <v/>
      </c>
      <c r="N340" s="7" t="str">
        <f>IF(B340&gt;Trainingsdaten!$H$3,"",G340-M340)</f>
        <v/>
      </c>
    </row>
    <row r="341" spans="1:14" x14ac:dyDescent="0.25">
      <c r="A341" s="9" t="str">
        <f>IF($B341&gt;Trainingsdaten!$H$3,"",MOD(ROW()-4,Trainingsdaten!$H$4)+1)</f>
        <v/>
      </c>
      <c r="B341" s="11" t="str">
        <f>IF(INT((ROW()-4)/Trainingsdaten!$H$4)+1&gt;Trainingsdaten!$H$3,"",INT((ROW()-4)/Trainingsdaten!$H$4)+1)</f>
        <v/>
      </c>
      <c r="C341" s="9" t="str">
        <f>IF(INT((ROW()-4)/Trainingsdaten!$H$4)+1&gt;Trainingsdaten!$H$3,"",MOD(ROW()-4,Trainingsdaten!$H$4)+1)</f>
        <v/>
      </c>
      <c r="D341" s="9" t="str">
        <f>IF($B341&gt;Trainingsdaten!$H$3,"",INDEX(Trainingsdaten!B:B,$C341+1))</f>
        <v/>
      </c>
      <c r="E341" s="7" t="str">
        <f>IF($B341&gt;Trainingsdaten!$H$3,"",INDEX(Trainingsdaten!C:C,$C341+1))</f>
        <v/>
      </c>
      <c r="F341" s="7" t="str">
        <f>IF($B341&gt;Trainingsdaten!$H$3,"",INDEX(Trainingsdaten!D:D,$C341+1))</f>
        <v/>
      </c>
      <c r="G341" s="7" t="str">
        <f>IF($B341&gt;Trainingsdaten!$H$3,"",INDEX(Trainingsdaten!E:E,$C341+1))</f>
        <v/>
      </c>
      <c r="H341" s="11" t="str">
        <f>IF($B341&gt;Trainingsdaten!$H$3,"",Trainingsdaten!$H$2)</f>
        <v/>
      </c>
      <c r="I341" s="7" t="str">
        <f>IF(B341&gt;Trainingsdaten!$H$3,"",I340+H341*N340*E341)</f>
        <v/>
      </c>
      <c r="J341" s="7" t="str">
        <f>IF(B341&gt;Trainingsdaten!$H$3,"",J340+H341*N340*F341)</f>
        <v/>
      </c>
      <c r="K341" s="7" t="str">
        <f>IF(B341&gt;Trainingsdaten!$H$3,"",K340+H341*N340)</f>
        <v/>
      </c>
      <c r="L341" s="7" t="str">
        <f>IF(B341&gt;Trainingsdaten!$H$3,"",E341*I341+F341*J341+K341)</f>
        <v/>
      </c>
      <c r="M341" s="7" t="str">
        <f>IF(B341&gt;Trainingsdaten!$H$3,"",IF(L341&gt;0,1,0))</f>
        <v/>
      </c>
      <c r="N341" s="7" t="str">
        <f>IF(B341&gt;Trainingsdaten!$H$3,"",G341-M341)</f>
        <v/>
      </c>
    </row>
    <row r="342" spans="1:14" x14ac:dyDescent="0.25">
      <c r="A342" s="9" t="str">
        <f>IF($B342&gt;Trainingsdaten!$H$3,"",MOD(ROW()-4,Trainingsdaten!$H$4)+1)</f>
        <v/>
      </c>
      <c r="B342" s="11" t="str">
        <f>IF(INT((ROW()-4)/Trainingsdaten!$H$4)+1&gt;Trainingsdaten!$H$3,"",INT((ROW()-4)/Trainingsdaten!$H$4)+1)</f>
        <v/>
      </c>
      <c r="C342" s="9" t="str">
        <f>IF(INT((ROW()-4)/Trainingsdaten!$H$4)+1&gt;Trainingsdaten!$H$3,"",MOD(ROW()-4,Trainingsdaten!$H$4)+1)</f>
        <v/>
      </c>
      <c r="D342" s="9" t="str">
        <f>IF($B342&gt;Trainingsdaten!$H$3,"",INDEX(Trainingsdaten!B:B,$C342+1))</f>
        <v/>
      </c>
      <c r="E342" s="7" t="str">
        <f>IF($B342&gt;Trainingsdaten!$H$3,"",INDEX(Trainingsdaten!C:C,$C342+1))</f>
        <v/>
      </c>
      <c r="F342" s="7" t="str">
        <f>IF($B342&gt;Trainingsdaten!$H$3,"",INDEX(Trainingsdaten!D:D,$C342+1))</f>
        <v/>
      </c>
      <c r="G342" s="7" t="str">
        <f>IF($B342&gt;Trainingsdaten!$H$3,"",INDEX(Trainingsdaten!E:E,$C342+1))</f>
        <v/>
      </c>
      <c r="H342" s="11" t="str">
        <f>IF($B342&gt;Trainingsdaten!$H$3,"",Trainingsdaten!$H$2)</f>
        <v/>
      </c>
      <c r="I342" s="7" t="str">
        <f>IF(B342&gt;Trainingsdaten!$H$3,"",I341+H342*N341*E342)</f>
        <v/>
      </c>
      <c r="J342" s="7" t="str">
        <f>IF(B342&gt;Trainingsdaten!$H$3,"",J341+H342*N341*F342)</f>
        <v/>
      </c>
      <c r="K342" s="7" t="str">
        <f>IF(B342&gt;Trainingsdaten!$H$3,"",K341+H342*N341)</f>
        <v/>
      </c>
      <c r="L342" s="7" t="str">
        <f>IF(B342&gt;Trainingsdaten!$H$3,"",E342*I342+F342*J342+K342)</f>
        <v/>
      </c>
      <c r="M342" s="7" t="str">
        <f>IF(B342&gt;Trainingsdaten!$H$3,"",IF(L342&gt;0,1,0))</f>
        <v/>
      </c>
      <c r="N342" s="7" t="str">
        <f>IF(B342&gt;Trainingsdaten!$H$3,"",G342-M342)</f>
        <v/>
      </c>
    </row>
    <row r="343" spans="1:14" x14ac:dyDescent="0.25">
      <c r="A343" s="9" t="str">
        <f>IF($B343&gt;Trainingsdaten!$H$3,"",MOD(ROW()-4,Trainingsdaten!$H$4)+1)</f>
        <v/>
      </c>
      <c r="B343" s="11" t="str">
        <f>IF(INT((ROW()-4)/Trainingsdaten!$H$4)+1&gt;Trainingsdaten!$H$3,"",INT((ROW()-4)/Trainingsdaten!$H$4)+1)</f>
        <v/>
      </c>
      <c r="C343" s="9" t="str">
        <f>IF(INT((ROW()-4)/Trainingsdaten!$H$4)+1&gt;Trainingsdaten!$H$3,"",MOD(ROW()-4,Trainingsdaten!$H$4)+1)</f>
        <v/>
      </c>
      <c r="D343" s="9" t="str">
        <f>IF($B343&gt;Trainingsdaten!$H$3,"",INDEX(Trainingsdaten!B:B,$C343+1))</f>
        <v/>
      </c>
      <c r="E343" s="7" t="str">
        <f>IF($B343&gt;Trainingsdaten!$H$3,"",INDEX(Trainingsdaten!C:C,$C343+1))</f>
        <v/>
      </c>
      <c r="F343" s="7" t="str">
        <f>IF($B343&gt;Trainingsdaten!$H$3,"",INDEX(Trainingsdaten!D:D,$C343+1))</f>
        <v/>
      </c>
      <c r="G343" s="7" t="str">
        <f>IF($B343&gt;Trainingsdaten!$H$3,"",INDEX(Trainingsdaten!E:E,$C343+1))</f>
        <v/>
      </c>
      <c r="H343" s="11" t="str">
        <f>IF($B343&gt;Trainingsdaten!$H$3,"",Trainingsdaten!$H$2)</f>
        <v/>
      </c>
      <c r="I343" s="7" t="str">
        <f>IF(B343&gt;Trainingsdaten!$H$3,"",I342+H343*N342*E343)</f>
        <v/>
      </c>
      <c r="J343" s="7" t="str">
        <f>IF(B343&gt;Trainingsdaten!$H$3,"",J342+H343*N342*F343)</f>
        <v/>
      </c>
      <c r="K343" s="7" t="str">
        <f>IF(B343&gt;Trainingsdaten!$H$3,"",K342+H343*N342)</f>
        <v/>
      </c>
      <c r="L343" s="7" t="str">
        <f>IF(B343&gt;Trainingsdaten!$H$3,"",E343*I343+F343*J343+K343)</f>
        <v/>
      </c>
      <c r="M343" s="7" t="str">
        <f>IF(B343&gt;Trainingsdaten!$H$3,"",IF(L343&gt;0,1,0))</f>
        <v/>
      </c>
      <c r="N343" s="7" t="str">
        <f>IF(B343&gt;Trainingsdaten!$H$3,"",G343-M343)</f>
        <v/>
      </c>
    </row>
    <row r="344" spans="1:14" x14ac:dyDescent="0.25">
      <c r="A344" s="9" t="str">
        <f>IF($B344&gt;Trainingsdaten!$H$3,"",MOD(ROW()-4,Trainingsdaten!$H$4)+1)</f>
        <v/>
      </c>
      <c r="B344" s="11" t="str">
        <f>IF(INT((ROW()-4)/Trainingsdaten!$H$4)+1&gt;Trainingsdaten!$H$3,"",INT((ROW()-4)/Trainingsdaten!$H$4)+1)</f>
        <v/>
      </c>
      <c r="C344" s="9" t="str">
        <f>IF(INT((ROW()-4)/Trainingsdaten!$H$4)+1&gt;Trainingsdaten!$H$3,"",MOD(ROW()-4,Trainingsdaten!$H$4)+1)</f>
        <v/>
      </c>
      <c r="D344" s="9" t="str">
        <f>IF($B344&gt;Trainingsdaten!$H$3,"",INDEX(Trainingsdaten!B:B,$C344+1))</f>
        <v/>
      </c>
      <c r="E344" s="7" t="str">
        <f>IF($B344&gt;Trainingsdaten!$H$3,"",INDEX(Trainingsdaten!C:C,$C344+1))</f>
        <v/>
      </c>
      <c r="F344" s="7" t="str">
        <f>IF($B344&gt;Trainingsdaten!$H$3,"",INDEX(Trainingsdaten!D:D,$C344+1))</f>
        <v/>
      </c>
      <c r="G344" s="7" t="str">
        <f>IF($B344&gt;Trainingsdaten!$H$3,"",INDEX(Trainingsdaten!E:E,$C344+1))</f>
        <v/>
      </c>
      <c r="H344" s="11" t="str">
        <f>IF($B344&gt;Trainingsdaten!$H$3,"",Trainingsdaten!$H$2)</f>
        <v/>
      </c>
      <c r="I344" s="7" t="str">
        <f>IF(B344&gt;Trainingsdaten!$H$3,"",I343+H344*N343*E344)</f>
        <v/>
      </c>
      <c r="J344" s="7" t="str">
        <f>IF(B344&gt;Trainingsdaten!$H$3,"",J343+H344*N343*F344)</f>
        <v/>
      </c>
      <c r="K344" s="7" t="str">
        <f>IF(B344&gt;Trainingsdaten!$H$3,"",K343+H344*N343)</f>
        <v/>
      </c>
      <c r="L344" s="7" t="str">
        <f>IF(B344&gt;Trainingsdaten!$H$3,"",E344*I344+F344*J344+K344)</f>
        <v/>
      </c>
      <c r="M344" s="7" t="str">
        <f>IF(B344&gt;Trainingsdaten!$H$3,"",IF(L344&gt;0,1,0))</f>
        <v/>
      </c>
      <c r="N344" s="7" t="str">
        <f>IF(B344&gt;Trainingsdaten!$H$3,"",G344-M344)</f>
        <v/>
      </c>
    </row>
    <row r="345" spans="1:14" x14ac:dyDescent="0.25">
      <c r="A345" s="9" t="str">
        <f>IF($B345&gt;Trainingsdaten!$H$3,"",MOD(ROW()-4,Trainingsdaten!$H$4)+1)</f>
        <v/>
      </c>
      <c r="B345" s="11" t="str">
        <f>IF(INT((ROW()-4)/Trainingsdaten!$H$4)+1&gt;Trainingsdaten!$H$3,"",INT((ROW()-4)/Trainingsdaten!$H$4)+1)</f>
        <v/>
      </c>
      <c r="C345" s="9" t="str">
        <f>IF(INT((ROW()-4)/Trainingsdaten!$H$4)+1&gt;Trainingsdaten!$H$3,"",MOD(ROW()-4,Trainingsdaten!$H$4)+1)</f>
        <v/>
      </c>
      <c r="D345" s="9" t="str">
        <f>IF($B345&gt;Trainingsdaten!$H$3,"",INDEX(Trainingsdaten!B:B,$C345+1))</f>
        <v/>
      </c>
      <c r="E345" s="7" t="str">
        <f>IF($B345&gt;Trainingsdaten!$H$3,"",INDEX(Trainingsdaten!C:C,$C345+1))</f>
        <v/>
      </c>
      <c r="F345" s="7" t="str">
        <f>IF($B345&gt;Trainingsdaten!$H$3,"",INDEX(Trainingsdaten!D:D,$C345+1))</f>
        <v/>
      </c>
      <c r="G345" s="7" t="str">
        <f>IF($B345&gt;Trainingsdaten!$H$3,"",INDEX(Trainingsdaten!E:E,$C345+1))</f>
        <v/>
      </c>
      <c r="H345" s="11" t="str">
        <f>IF($B345&gt;Trainingsdaten!$H$3,"",Trainingsdaten!$H$2)</f>
        <v/>
      </c>
      <c r="I345" s="7" t="str">
        <f>IF(B345&gt;Trainingsdaten!$H$3,"",I344+H345*N344*E345)</f>
        <v/>
      </c>
      <c r="J345" s="7" t="str">
        <f>IF(B345&gt;Trainingsdaten!$H$3,"",J344+H345*N344*F345)</f>
        <v/>
      </c>
      <c r="K345" s="7" t="str">
        <f>IF(B345&gt;Trainingsdaten!$H$3,"",K344+H345*N344)</f>
        <v/>
      </c>
      <c r="L345" s="7" t="str">
        <f>IF(B345&gt;Trainingsdaten!$H$3,"",E345*I345+F345*J345+K345)</f>
        <v/>
      </c>
      <c r="M345" s="7" t="str">
        <f>IF(B345&gt;Trainingsdaten!$H$3,"",IF(L345&gt;0,1,0))</f>
        <v/>
      </c>
      <c r="N345" s="7" t="str">
        <f>IF(B345&gt;Trainingsdaten!$H$3,"",G345-M345)</f>
        <v/>
      </c>
    </row>
    <row r="346" spans="1:14" x14ac:dyDescent="0.25">
      <c r="A346" s="9" t="str">
        <f>IF($B346&gt;Trainingsdaten!$H$3,"",MOD(ROW()-4,Trainingsdaten!$H$4)+1)</f>
        <v/>
      </c>
      <c r="B346" s="11" t="str">
        <f>IF(INT((ROW()-4)/Trainingsdaten!$H$4)+1&gt;Trainingsdaten!$H$3,"",INT((ROW()-4)/Trainingsdaten!$H$4)+1)</f>
        <v/>
      </c>
      <c r="C346" s="9" t="str">
        <f>IF(INT((ROW()-4)/Trainingsdaten!$H$4)+1&gt;Trainingsdaten!$H$3,"",MOD(ROW()-4,Trainingsdaten!$H$4)+1)</f>
        <v/>
      </c>
      <c r="D346" s="9" t="str">
        <f>IF($B346&gt;Trainingsdaten!$H$3,"",INDEX(Trainingsdaten!B:B,$C346+1))</f>
        <v/>
      </c>
      <c r="E346" s="7" t="str">
        <f>IF($B346&gt;Trainingsdaten!$H$3,"",INDEX(Trainingsdaten!C:C,$C346+1))</f>
        <v/>
      </c>
      <c r="F346" s="7" t="str">
        <f>IF($B346&gt;Trainingsdaten!$H$3,"",INDEX(Trainingsdaten!D:D,$C346+1))</f>
        <v/>
      </c>
      <c r="G346" s="7" t="str">
        <f>IF($B346&gt;Trainingsdaten!$H$3,"",INDEX(Trainingsdaten!E:E,$C346+1))</f>
        <v/>
      </c>
      <c r="H346" s="11" t="str">
        <f>IF($B346&gt;Trainingsdaten!$H$3,"",Trainingsdaten!$H$2)</f>
        <v/>
      </c>
      <c r="I346" s="7" t="str">
        <f>IF(B346&gt;Trainingsdaten!$H$3,"",I345+H346*N345*E346)</f>
        <v/>
      </c>
      <c r="J346" s="7" t="str">
        <f>IF(B346&gt;Trainingsdaten!$H$3,"",J345+H346*N345*F346)</f>
        <v/>
      </c>
      <c r="K346" s="7" t="str">
        <f>IF(B346&gt;Trainingsdaten!$H$3,"",K345+H346*N345)</f>
        <v/>
      </c>
      <c r="L346" s="7" t="str">
        <f>IF(B346&gt;Trainingsdaten!$H$3,"",E346*I346+F346*J346+K346)</f>
        <v/>
      </c>
      <c r="M346" s="7" t="str">
        <f>IF(B346&gt;Trainingsdaten!$H$3,"",IF(L346&gt;0,1,0))</f>
        <v/>
      </c>
      <c r="N346" s="7" t="str">
        <f>IF(B346&gt;Trainingsdaten!$H$3,"",G346-M346)</f>
        <v/>
      </c>
    </row>
    <row r="347" spans="1:14" x14ac:dyDescent="0.25">
      <c r="A347" s="9" t="str">
        <f>IF($B347&gt;Trainingsdaten!$H$3,"",MOD(ROW()-4,Trainingsdaten!$H$4)+1)</f>
        <v/>
      </c>
      <c r="B347" s="11" t="str">
        <f>IF(INT((ROW()-4)/Trainingsdaten!$H$4)+1&gt;Trainingsdaten!$H$3,"",INT((ROW()-4)/Trainingsdaten!$H$4)+1)</f>
        <v/>
      </c>
      <c r="C347" s="9" t="str">
        <f>IF(INT((ROW()-4)/Trainingsdaten!$H$4)+1&gt;Trainingsdaten!$H$3,"",MOD(ROW()-4,Trainingsdaten!$H$4)+1)</f>
        <v/>
      </c>
      <c r="D347" s="9" t="str">
        <f>IF($B347&gt;Trainingsdaten!$H$3,"",INDEX(Trainingsdaten!B:B,$C347+1))</f>
        <v/>
      </c>
      <c r="E347" s="7" t="str">
        <f>IF($B347&gt;Trainingsdaten!$H$3,"",INDEX(Trainingsdaten!C:C,$C347+1))</f>
        <v/>
      </c>
      <c r="F347" s="7" t="str">
        <f>IF($B347&gt;Trainingsdaten!$H$3,"",INDEX(Trainingsdaten!D:D,$C347+1))</f>
        <v/>
      </c>
      <c r="G347" s="7" t="str">
        <f>IF($B347&gt;Trainingsdaten!$H$3,"",INDEX(Trainingsdaten!E:E,$C347+1))</f>
        <v/>
      </c>
      <c r="H347" s="11" t="str">
        <f>IF($B347&gt;Trainingsdaten!$H$3,"",Trainingsdaten!$H$2)</f>
        <v/>
      </c>
      <c r="I347" s="7" t="str">
        <f>IF(B347&gt;Trainingsdaten!$H$3,"",I346+H347*N346*E347)</f>
        <v/>
      </c>
      <c r="J347" s="7" t="str">
        <f>IF(B347&gt;Trainingsdaten!$H$3,"",J346+H347*N346*F347)</f>
        <v/>
      </c>
      <c r="K347" s="7" t="str">
        <f>IF(B347&gt;Trainingsdaten!$H$3,"",K346+H347*N346)</f>
        <v/>
      </c>
      <c r="L347" s="7" t="str">
        <f>IF(B347&gt;Trainingsdaten!$H$3,"",E347*I347+F347*J347+K347)</f>
        <v/>
      </c>
      <c r="M347" s="7" t="str">
        <f>IF(B347&gt;Trainingsdaten!$H$3,"",IF(L347&gt;0,1,0))</f>
        <v/>
      </c>
      <c r="N347" s="7" t="str">
        <f>IF(B347&gt;Trainingsdaten!$H$3,"",G347-M347)</f>
        <v/>
      </c>
    </row>
    <row r="348" spans="1:14" x14ac:dyDescent="0.25">
      <c r="A348" s="9" t="str">
        <f>IF($B348&gt;Trainingsdaten!$H$3,"",MOD(ROW()-4,Trainingsdaten!$H$4)+1)</f>
        <v/>
      </c>
      <c r="B348" s="11" t="str">
        <f>IF(INT((ROW()-4)/Trainingsdaten!$H$4)+1&gt;Trainingsdaten!$H$3,"",INT((ROW()-4)/Trainingsdaten!$H$4)+1)</f>
        <v/>
      </c>
      <c r="C348" s="9" t="str">
        <f>IF(INT((ROW()-4)/Trainingsdaten!$H$4)+1&gt;Trainingsdaten!$H$3,"",MOD(ROW()-4,Trainingsdaten!$H$4)+1)</f>
        <v/>
      </c>
      <c r="D348" s="9" t="str">
        <f>IF($B348&gt;Trainingsdaten!$H$3,"",INDEX(Trainingsdaten!B:B,$C348+1))</f>
        <v/>
      </c>
      <c r="E348" s="7" t="str">
        <f>IF($B348&gt;Trainingsdaten!$H$3,"",INDEX(Trainingsdaten!C:C,$C348+1))</f>
        <v/>
      </c>
      <c r="F348" s="7" t="str">
        <f>IF($B348&gt;Trainingsdaten!$H$3,"",INDEX(Trainingsdaten!D:D,$C348+1))</f>
        <v/>
      </c>
      <c r="G348" s="7" t="str">
        <f>IF($B348&gt;Trainingsdaten!$H$3,"",INDEX(Trainingsdaten!E:E,$C348+1))</f>
        <v/>
      </c>
      <c r="H348" s="11" t="str">
        <f>IF($B348&gt;Trainingsdaten!$H$3,"",Trainingsdaten!$H$2)</f>
        <v/>
      </c>
      <c r="I348" s="7" t="str">
        <f>IF(B348&gt;Trainingsdaten!$H$3,"",I347+H348*N347*E348)</f>
        <v/>
      </c>
      <c r="J348" s="7" t="str">
        <f>IF(B348&gt;Trainingsdaten!$H$3,"",J347+H348*N347*F348)</f>
        <v/>
      </c>
      <c r="K348" s="7" t="str">
        <f>IF(B348&gt;Trainingsdaten!$H$3,"",K347+H348*N347)</f>
        <v/>
      </c>
      <c r="L348" s="7" t="str">
        <f>IF(B348&gt;Trainingsdaten!$H$3,"",E348*I348+F348*J348+K348)</f>
        <v/>
      </c>
      <c r="M348" s="7" t="str">
        <f>IF(B348&gt;Trainingsdaten!$H$3,"",IF(L348&gt;0,1,0))</f>
        <v/>
      </c>
      <c r="N348" s="7" t="str">
        <f>IF(B348&gt;Trainingsdaten!$H$3,"",G348-M348)</f>
        <v/>
      </c>
    </row>
    <row r="349" spans="1:14" x14ac:dyDescent="0.25">
      <c r="A349" s="9" t="str">
        <f>IF($B349&gt;Trainingsdaten!$H$3,"",MOD(ROW()-4,Trainingsdaten!$H$4)+1)</f>
        <v/>
      </c>
      <c r="B349" s="11" t="str">
        <f>IF(INT((ROW()-4)/Trainingsdaten!$H$4)+1&gt;Trainingsdaten!$H$3,"",INT((ROW()-4)/Trainingsdaten!$H$4)+1)</f>
        <v/>
      </c>
      <c r="C349" s="9" t="str">
        <f>IF(INT((ROW()-4)/Trainingsdaten!$H$4)+1&gt;Trainingsdaten!$H$3,"",MOD(ROW()-4,Trainingsdaten!$H$4)+1)</f>
        <v/>
      </c>
      <c r="D349" s="9" t="str">
        <f>IF($B349&gt;Trainingsdaten!$H$3,"",INDEX(Trainingsdaten!B:B,$C349+1))</f>
        <v/>
      </c>
      <c r="E349" s="7" t="str">
        <f>IF($B349&gt;Trainingsdaten!$H$3,"",INDEX(Trainingsdaten!C:C,$C349+1))</f>
        <v/>
      </c>
      <c r="F349" s="7" t="str">
        <f>IF($B349&gt;Trainingsdaten!$H$3,"",INDEX(Trainingsdaten!D:D,$C349+1))</f>
        <v/>
      </c>
      <c r="G349" s="7" t="str">
        <f>IF($B349&gt;Trainingsdaten!$H$3,"",INDEX(Trainingsdaten!E:E,$C349+1))</f>
        <v/>
      </c>
      <c r="H349" s="11" t="str">
        <f>IF($B349&gt;Trainingsdaten!$H$3,"",Trainingsdaten!$H$2)</f>
        <v/>
      </c>
      <c r="I349" s="7" t="str">
        <f>IF(B349&gt;Trainingsdaten!$H$3,"",I348+H349*N348*E349)</f>
        <v/>
      </c>
      <c r="J349" s="7" t="str">
        <f>IF(B349&gt;Trainingsdaten!$H$3,"",J348+H349*N348*F349)</f>
        <v/>
      </c>
      <c r="K349" s="7" t="str">
        <f>IF(B349&gt;Trainingsdaten!$H$3,"",K348+H349*N348)</f>
        <v/>
      </c>
      <c r="L349" s="7" t="str">
        <f>IF(B349&gt;Trainingsdaten!$H$3,"",E349*I349+F349*J349+K349)</f>
        <v/>
      </c>
      <c r="M349" s="7" t="str">
        <f>IF(B349&gt;Trainingsdaten!$H$3,"",IF(L349&gt;0,1,0))</f>
        <v/>
      </c>
      <c r="N349" s="7" t="str">
        <f>IF(B349&gt;Trainingsdaten!$H$3,"",G349-M349)</f>
        <v/>
      </c>
    </row>
    <row r="350" spans="1:14" x14ac:dyDescent="0.25">
      <c r="A350" s="9" t="str">
        <f>IF($B350&gt;Trainingsdaten!$H$3,"",MOD(ROW()-4,Trainingsdaten!$H$4)+1)</f>
        <v/>
      </c>
      <c r="B350" s="11" t="str">
        <f>IF(INT((ROW()-4)/Trainingsdaten!$H$4)+1&gt;Trainingsdaten!$H$3,"",INT((ROW()-4)/Trainingsdaten!$H$4)+1)</f>
        <v/>
      </c>
      <c r="C350" s="9" t="str">
        <f>IF(INT((ROW()-4)/Trainingsdaten!$H$4)+1&gt;Trainingsdaten!$H$3,"",MOD(ROW()-4,Trainingsdaten!$H$4)+1)</f>
        <v/>
      </c>
      <c r="D350" s="9" t="str">
        <f>IF($B350&gt;Trainingsdaten!$H$3,"",INDEX(Trainingsdaten!B:B,$C350+1))</f>
        <v/>
      </c>
      <c r="E350" s="7" t="str">
        <f>IF($B350&gt;Trainingsdaten!$H$3,"",INDEX(Trainingsdaten!C:C,$C350+1))</f>
        <v/>
      </c>
      <c r="F350" s="7" t="str">
        <f>IF($B350&gt;Trainingsdaten!$H$3,"",INDEX(Trainingsdaten!D:D,$C350+1))</f>
        <v/>
      </c>
      <c r="G350" s="7" t="str">
        <f>IF($B350&gt;Trainingsdaten!$H$3,"",INDEX(Trainingsdaten!E:E,$C350+1))</f>
        <v/>
      </c>
      <c r="H350" s="11" t="str">
        <f>IF($B350&gt;Trainingsdaten!$H$3,"",Trainingsdaten!$H$2)</f>
        <v/>
      </c>
      <c r="I350" s="7" t="str">
        <f>IF(B350&gt;Trainingsdaten!$H$3,"",I349+H350*N349*E350)</f>
        <v/>
      </c>
      <c r="J350" s="7" t="str">
        <f>IF(B350&gt;Trainingsdaten!$H$3,"",J349+H350*N349*F350)</f>
        <v/>
      </c>
      <c r="K350" s="7" t="str">
        <f>IF(B350&gt;Trainingsdaten!$H$3,"",K349+H350*N349)</f>
        <v/>
      </c>
      <c r="L350" s="7" t="str">
        <f>IF(B350&gt;Trainingsdaten!$H$3,"",E350*I350+F350*J350+K350)</f>
        <v/>
      </c>
      <c r="M350" s="7" t="str">
        <f>IF(B350&gt;Trainingsdaten!$H$3,"",IF(L350&gt;0,1,0))</f>
        <v/>
      </c>
      <c r="N350" s="7" t="str">
        <f>IF(B350&gt;Trainingsdaten!$H$3,"",G350-M350)</f>
        <v/>
      </c>
    </row>
    <row r="351" spans="1:14" x14ac:dyDescent="0.25">
      <c r="A351" s="9" t="str">
        <f>IF($B351&gt;Trainingsdaten!$H$3,"",MOD(ROW()-4,Trainingsdaten!$H$4)+1)</f>
        <v/>
      </c>
      <c r="B351" s="11" t="str">
        <f>IF(INT((ROW()-4)/Trainingsdaten!$H$4)+1&gt;Trainingsdaten!$H$3,"",INT((ROW()-4)/Trainingsdaten!$H$4)+1)</f>
        <v/>
      </c>
      <c r="C351" s="9" t="str">
        <f>IF(INT((ROW()-4)/Trainingsdaten!$H$4)+1&gt;Trainingsdaten!$H$3,"",MOD(ROW()-4,Trainingsdaten!$H$4)+1)</f>
        <v/>
      </c>
      <c r="D351" s="9" t="str">
        <f>IF($B351&gt;Trainingsdaten!$H$3,"",INDEX(Trainingsdaten!B:B,$C351+1))</f>
        <v/>
      </c>
      <c r="E351" s="7" t="str">
        <f>IF($B351&gt;Trainingsdaten!$H$3,"",INDEX(Trainingsdaten!C:C,$C351+1))</f>
        <v/>
      </c>
      <c r="F351" s="7" t="str">
        <f>IF($B351&gt;Trainingsdaten!$H$3,"",INDEX(Trainingsdaten!D:D,$C351+1))</f>
        <v/>
      </c>
      <c r="G351" s="7" t="str">
        <f>IF($B351&gt;Trainingsdaten!$H$3,"",INDEX(Trainingsdaten!E:E,$C351+1))</f>
        <v/>
      </c>
      <c r="H351" s="11" t="str">
        <f>IF($B351&gt;Trainingsdaten!$H$3,"",Trainingsdaten!$H$2)</f>
        <v/>
      </c>
      <c r="I351" s="7" t="str">
        <f>IF(B351&gt;Trainingsdaten!$H$3,"",I350+H351*N350*E351)</f>
        <v/>
      </c>
      <c r="J351" s="7" t="str">
        <f>IF(B351&gt;Trainingsdaten!$H$3,"",J350+H351*N350*F351)</f>
        <v/>
      </c>
      <c r="K351" s="7" t="str">
        <f>IF(B351&gt;Trainingsdaten!$H$3,"",K350+H351*N350)</f>
        <v/>
      </c>
      <c r="L351" s="7" t="str">
        <f>IF(B351&gt;Trainingsdaten!$H$3,"",E351*I351+F351*J351+K351)</f>
        <v/>
      </c>
      <c r="M351" s="7" t="str">
        <f>IF(B351&gt;Trainingsdaten!$H$3,"",IF(L351&gt;0,1,0))</f>
        <v/>
      </c>
      <c r="N351" s="7" t="str">
        <f>IF(B351&gt;Trainingsdaten!$H$3,"",G351-M351)</f>
        <v/>
      </c>
    </row>
    <row r="352" spans="1:14" x14ac:dyDescent="0.25">
      <c r="A352" s="9" t="str">
        <f>IF($B352&gt;Trainingsdaten!$H$3,"",MOD(ROW()-4,Trainingsdaten!$H$4)+1)</f>
        <v/>
      </c>
      <c r="B352" s="11" t="str">
        <f>IF(INT((ROW()-4)/Trainingsdaten!$H$4)+1&gt;Trainingsdaten!$H$3,"",INT((ROW()-4)/Trainingsdaten!$H$4)+1)</f>
        <v/>
      </c>
      <c r="C352" s="9" t="str">
        <f>IF(INT((ROW()-4)/Trainingsdaten!$H$4)+1&gt;Trainingsdaten!$H$3,"",MOD(ROW()-4,Trainingsdaten!$H$4)+1)</f>
        <v/>
      </c>
      <c r="D352" s="9" t="str">
        <f>IF($B352&gt;Trainingsdaten!$H$3,"",INDEX(Trainingsdaten!B:B,$C352+1))</f>
        <v/>
      </c>
      <c r="E352" s="7" t="str">
        <f>IF($B352&gt;Trainingsdaten!$H$3,"",INDEX(Trainingsdaten!C:C,$C352+1))</f>
        <v/>
      </c>
      <c r="F352" s="7" t="str">
        <f>IF($B352&gt;Trainingsdaten!$H$3,"",INDEX(Trainingsdaten!D:D,$C352+1))</f>
        <v/>
      </c>
      <c r="G352" s="7" t="str">
        <f>IF($B352&gt;Trainingsdaten!$H$3,"",INDEX(Trainingsdaten!E:E,$C352+1))</f>
        <v/>
      </c>
      <c r="H352" s="11" t="str">
        <f>IF($B352&gt;Trainingsdaten!$H$3,"",Trainingsdaten!$H$2)</f>
        <v/>
      </c>
      <c r="I352" s="7" t="str">
        <f>IF(B352&gt;Trainingsdaten!$H$3,"",I351+H352*N351*E352)</f>
        <v/>
      </c>
      <c r="J352" s="7" t="str">
        <f>IF(B352&gt;Trainingsdaten!$H$3,"",J351+H352*N351*F352)</f>
        <v/>
      </c>
      <c r="K352" s="7" t="str">
        <f>IF(B352&gt;Trainingsdaten!$H$3,"",K351+H352*N351)</f>
        <v/>
      </c>
      <c r="L352" s="7" t="str">
        <f>IF(B352&gt;Trainingsdaten!$H$3,"",E352*I352+F352*J352+K352)</f>
        <v/>
      </c>
      <c r="M352" s="7" t="str">
        <f>IF(B352&gt;Trainingsdaten!$H$3,"",IF(L352&gt;0,1,0))</f>
        <v/>
      </c>
      <c r="N352" s="7" t="str">
        <f>IF(B352&gt;Trainingsdaten!$H$3,"",G352-M352)</f>
        <v/>
      </c>
    </row>
    <row r="353" spans="1:14" x14ac:dyDescent="0.25">
      <c r="A353" s="9" t="str">
        <f>IF($B353&gt;Trainingsdaten!$H$3,"",MOD(ROW()-4,Trainingsdaten!$H$4)+1)</f>
        <v/>
      </c>
      <c r="B353" s="11" t="str">
        <f>IF(INT((ROW()-4)/Trainingsdaten!$H$4)+1&gt;Trainingsdaten!$H$3,"",INT((ROW()-4)/Trainingsdaten!$H$4)+1)</f>
        <v/>
      </c>
      <c r="C353" s="9" t="str">
        <f>IF(INT((ROW()-4)/Trainingsdaten!$H$4)+1&gt;Trainingsdaten!$H$3,"",MOD(ROW()-4,Trainingsdaten!$H$4)+1)</f>
        <v/>
      </c>
      <c r="D353" s="9" t="str">
        <f>IF($B353&gt;Trainingsdaten!$H$3,"",INDEX(Trainingsdaten!B:B,$C353+1))</f>
        <v/>
      </c>
      <c r="E353" s="7" t="str">
        <f>IF($B353&gt;Trainingsdaten!$H$3,"",INDEX(Trainingsdaten!C:C,$C353+1))</f>
        <v/>
      </c>
      <c r="F353" s="7" t="str">
        <f>IF($B353&gt;Trainingsdaten!$H$3,"",INDEX(Trainingsdaten!D:D,$C353+1))</f>
        <v/>
      </c>
      <c r="G353" s="7" t="str">
        <f>IF($B353&gt;Trainingsdaten!$H$3,"",INDEX(Trainingsdaten!E:E,$C353+1))</f>
        <v/>
      </c>
      <c r="H353" s="11" t="str">
        <f>IF($B353&gt;Trainingsdaten!$H$3,"",Trainingsdaten!$H$2)</f>
        <v/>
      </c>
      <c r="I353" s="7" t="str">
        <f>IF(B353&gt;Trainingsdaten!$H$3,"",I352+H353*N352*E353)</f>
        <v/>
      </c>
      <c r="J353" s="7" t="str">
        <f>IF(B353&gt;Trainingsdaten!$H$3,"",J352+H353*N352*F353)</f>
        <v/>
      </c>
      <c r="K353" s="7" t="str">
        <f>IF(B353&gt;Trainingsdaten!$H$3,"",K352+H353*N352)</f>
        <v/>
      </c>
      <c r="L353" s="7" t="str">
        <f>IF(B353&gt;Trainingsdaten!$H$3,"",E353*I353+F353*J353+K353)</f>
        <v/>
      </c>
      <c r="M353" s="7" t="str">
        <f>IF(B353&gt;Trainingsdaten!$H$3,"",IF(L353&gt;0,1,0))</f>
        <v/>
      </c>
      <c r="N353" s="7" t="str">
        <f>IF(B353&gt;Trainingsdaten!$H$3,"",G353-M353)</f>
        <v/>
      </c>
    </row>
    <row r="354" spans="1:14" x14ac:dyDescent="0.25">
      <c r="A354" s="9" t="str">
        <f>IF($B354&gt;Trainingsdaten!$H$3,"",MOD(ROW()-4,Trainingsdaten!$H$4)+1)</f>
        <v/>
      </c>
      <c r="B354" s="11" t="str">
        <f>IF(INT((ROW()-4)/Trainingsdaten!$H$4)+1&gt;Trainingsdaten!$H$3,"",INT((ROW()-4)/Trainingsdaten!$H$4)+1)</f>
        <v/>
      </c>
      <c r="C354" s="9" t="str">
        <f>IF(INT((ROW()-4)/Trainingsdaten!$H$4)+1&gt;Trainingsdaten!$H$3,"",MOD(ROW()-4,Trainingsdaten!$H$4)+1)</f>
        <v/>
      </c>
      <c r="D354" s="9" t="str">
        <f>IF($B354&gt;Trainingsdaten!$H$3,"",INDEX(Trainingsdaten!B:B,$C354+1))</f>
        <v/>
      </c>
      <c r="E354" s="7" t="str">
        <f>IF($B354&gt;Trainingsdaten!$H$3,"",INDEX(Trainingsdaten!C:C,$C354+1))</f>
        <v/>
      </c>
      <c r="F354" s="7" t="str">
        <f>IF($B354&gt;Trainingsdaten!$H$3,"",INDEX(Trainingsdaten!D:D,$C354+1))</f>
        <v/>
      </c>
      <c r="G354" s="7" t="str">
        <f>IF($B354&gt;Trainingsdaten!$H$3,"",INDEX(Trainingsdaten!E:E,$C354+1))</f>
        <v/>
      </c>
      <c r="H354" s="11" t="str">
        <f>IF($B354&gt;Trainingsdaten!$H$3,"",Trainingsdaten!$H$2)</f>
        <v/>
      </c>
      <c r="I354" s="7" t="str">
        <f>IF(B354&gt;Trainingsdaten!$H$3,"",I353+H354*N353*E354)</f>
        <v/>
      </c>
      <c r="J354" s="7" t="str">
        <f>IF(B354&gt;Trainingsdaten!$H$3,"",J353+H354*N353*F354)</f>
        <v/>
      </c>
      <c r="K354" s="7" t="str">
        <f>IF(B354&gt;Trainingsdaten!$H$3,"",K353+H354*N353)</f>
        <v/>
      </c>
      <c r="L354" s="7" t="str">
        <f>IF(B354&gt;Trainingsdaten!$H$3,"",E354*I354+F354*J354+K354)</f>
        <v/>
      </c>
      <c r="M354" s="7" t="str">
        <f>IF(B354&gt;Trainingsdaten!$H$3,"",IF(L354&gt;0,1,0))</f>
        <v/>
      </c>
      <c r="N354" s="7" t="str">
        <f>IF(B354&gt;Trainingsdaten!$H$3,"",G354-M354)</f>
        <v/>
      </c>
    </row>
    <row r="355" spans="1:14" x14ac:dyDescent="0.25">
      <c r="A355" s="9" t="str">
        <f>IF($B355&gt;Trainingsdaten!$H$3,"",MOD(ROW()-4,Trainingsdaten!$H$4)+1)</f>
        <v/>
      </c>
      <c r="B355" s="11" t="str">
        <f>IF(INT((ROW()-4)/Trainingsdaten!$H$4)+1&gt;Trainingsdaten!$H$3,"",INT((ROW()-4)/Trainingsdaten!$H$4)+1)</f>
        <v/>
      </c>
      <c r="C355" s="9" t="str">
        <f>IF(INT((ROW()-4)/Trainingsdaten!$H$4)+1&gt;Trainingsdaten!$H$3,"",MOD(ROW()-4,Trainingsdaten!$H$4)+1)</f>
        <v/>
      </c>
      <c r="D355" s="9" t="str">
        <f>IF($B355&gt;Trainingsdaten!$H$3,"",INDEX(Trainingsdaten!B:B,$C355+1))</f>
        <v/>
      </c>
      <c r="E355" s="7" t="str">
        <f>IF($B355&gt;Trainingsdaten!$H$3,"",INDEX(Trainingsdaten!C:C,$C355+1))</f>
        <v/>
      </c>
      <c r="F355" s="7" t="str">
        <f>IF($B355&gt;Trainingsdaten!$H$3,"",INDEX(Trainingsdaten!D:D,$C355+1))</f>
        <v/>
      </c>
      <c r="G355" s="7" t="str">
        <f>IF($B355&gt;Trainingsdaten!$H$3,"",INDEX(Trainingsdaten!E:E,$C355+1))</f>
        <v/>
      </c>
      <c r="H355" s="11" t="str">
        <f>IF($B355&gt;Trainingsdaten!$H$3,"",Trainingsdaten!$H$2)</f>
        <v/>
      </c>
      <c r="I355" s="7" t="str">
        <f>IF(B355&gt;Trainingsdaten!$H$3,"",I354+H355*N354*E355)</f>
        <v/>
      </c>
      <c r="J355" s="7" t="str">
        <f>IF(B355&gt;Trainingsdaten!$H$3,"",J354+H355*N354*F355)</f>
        <v/>
      </c>
      <c r="K355" s="7" t="str">
        <f>IF(B355&gt;Trainingsdaten!$H$3,"",K354+H355*N354)</f>
        <v/>
      </c>
      <c r="L355" s="7" t="str">
        <f>IF(B355&gt;Trainingsdaten!$H$3,"",E355*I355+F355*J355+K355)</f>
        <v/>
      </c>
      <c r="M355" s="7" t="str">
        <f>IF(B355&gt;Trainingsdaten!$H$3,"",IF(L355&gt;0,1,0))</f>
        <v/>
      </c>
      <c r="N355" s="7" t="str">
        <f>IF(B355&gt;Trainingsdaten!$H$3,"",G355-M355)</f>
        <v/>
      </c>
    </row>
    <row r="356" spans="1:14" x14ac:dyDescent="0.25">
      <c r="A356" s="9" t="str">
        <f>IF($B356&gt;Trainingsdaten!$H$3,"",MOD(ROW()-4,Trainingsdaten!$H$4)+1)</f>
        <v/>
      </c>
      <c r="B356" s="11" t="str">
        <f>IF(INT((ROW()-4)/Trainingsdaten!$H$4)+1&gt;Trainingsdaten!$H$3,"",INT((ROW()-4)/Trainingsdaten!$H$4)+1)</f>
        <v/>
      </c>
      <c r="C356" s="9" t="str">
        <f>IF(INT((ROW()-4)/Trainingsdaten!$H$4)+1&gt;Trainingsdaten!$H$3,"",MOD(ROW()-4,Trainingsdaten!$H$4)+1)</f>
        <v/>
      </c>
      <c r="D356" s="9" t="str">
        <f>IF($B356&gt;Trainingsdaten!$H$3,"",INDEX(Trainingsdaten!B:B,$C356+1))</f>
        <v/>
      </c>
      <c r="E356" s="7" t="str">
        <f>IF($B356&gt;Trainingsdaten!$H$3,"",INDEX(Trainingsdaten!C:C,$C356+1))</f>
        <v/>
      </c>
      <c r="F356" s="7" t="str">
        <f>IF($B356&gt;Trainingsdaten!$H$3,"",INDEX(Trainingsdaten!D:D,$C356+1))</f>
        <v/>
      </c>
      <c r="G356" s="7" t="str">
        <f>IF($B356&gt;Trainingsdaten!$H$3,"",INDEX(Trainingsdaten!E:E,$C356+1))</f>
        <v/>
      </c>
      <c r="H356" s="11" t="str">
        <f>IF($B356&gt;Trainingsdaten!$H$3,"",Trainingsdaten!$H$2)</f>
        <v/>
      </c>
      <c r="I356" s="7" t="str">
        <f>IF(B356&gt;Trainingsdaten!$H$3,"",I355+H356*N355*E356)</f>
        <v/>
      </c>
      <c r="J356" s="7" t="str">
        <f>IF(B356&gt;Trainingsdaten!$H$3,"",J355+H356*N355*F356)</f>
        <v/>
      </c>
      <c r="K356" s="7" t="str">
        <f>IF(B356&gt;Trainingsdaten!$H$3,"",K355+H356*N355)</f>
        <v/>
      </c>
      <c r="L356" s="7" t="str">
        <f>IF(B356&gt;Trainingsdaten!$H$3,"",E356*I356+F356*J356+K356)</f>
        <v/>
      </c>
      <c r="M356" s="7" t="str">
        <f>IF(B356&gt;Trainingsdaten!$H$3,"",IF(L356&gt;0,1,0))</f>
        <v/>
      </c>
      <c r="N356" s="7" t="str">
        <f>IF(B356&gt;Trainingsdaten!$H$3,"",G356-M356)</f>
        <v/>
      </c>
    </row>
    <row r="357" spans="1:14" x14ac:dyDescent="0.25">
      <c r="A357" s="9" t="str">
        <f>IF($B357&gt;Trainingsdaten!$H$3,"",MOD(ROW()-4,Trainingsdaten!$H$4)+1)</f>
        <v/>
      </c>
      <c r="B357" s="11" t="str">
        <f>IF(INT((ROW()-4)/Trainingsdaten!$H$4)+1&gt;Trainingsdaten!$H$3,"",INT((ROW()-4)/Trainingsdaten!$H$4)+1)</f>
        <v/>
      </c>
      <c r="C357" s="9" t="str">
        <f>IF(INT((ROW()-4)/Trainingsdaten!$H$4)+1&gt;Trainingsdaten!$H$3,"",MOD(ROW()-4,Trainingsdaten!$H$4)+1)</f>
        <v/>
      </c>
      <c r="D357" s="9" t="str">
        <f>IF($B357&gt;Trainingsdaten!$H$3,"",INDEX(Trainingsdaten!B:B,$C357+1))</f>
        <v/>
      </c>
      <c r="E357" s="7" t="str">
        <f>IF($B357&gt;Trainingsdaten!$H$3,"",INDEX(Trainingsdaten!C:C,$C357+1))</f>
        <v/>
      </c>
      <c r="F357" s="7" t="str">
        <f>IF($B357&gt;Trainingsdaten!$H$3,"",INDEX(Trainingsdaten!D:D,$C357+1))</f>
        <v/>
      </c>
      <c r="G357" s="7" t="str">
        <f>IF($B357&gt;Trainingsdaten!$H$3,"",INDEX(Trainingsdaten!E:E,$C357+1))</f>
        <v/>
      </c>
      <c r="H357" s="11" t="str">
        <f>IF($B357&gt;Trainingsdaten!$H$3,"",Trainingsdaten!$H$2)</f>
        <v/>
      </c>
      <c r="I357" s="7" t="str">
        <f>IF(B357&gt;Trainingsdaten!$H$3,"",I356+H357*N356*E357)</f>
        <v/>
      </c>
      <c r="J357" s="7" t="str">
        <f>IF(B357&gt;Trainingsdaten!$H$3,"",J356+H357*N356*F357)</f>
        <v/>
      </c>
      <c r="K357" s="7" t="str">
        <f>IF(B357&gt;Trainingsdaten!$H$3,"",K356+H357*N356)</f>
        <v/>
      </c>
      <c r="L357" s="7" t="str">
        <f>IF(B357&gt;Trainingsdaten!$H$3,"",E357*I357+F357*J357+K357)</f>
        <v/>
      </c>
      <c r="M357" s="7" t="str">
        <f>IF(B357&gt;Trainingsdaten!$H$3,"",IF(L357&gt;0,1,0))</f>
        <v/>
      </c>
      <c r="N357" s="7" t="str">
        <f>IF(B357&gt;Trainingsdaten!$H$3,"",G357-M357)</f>
        <v/>
      </c>
    </row>
    <row r="358" spans="1:14" x14ac:dyDescent="0.25">
      <c r="A358" s="9" t="str">
        <f>IF($B358&gt;Trainingsdaten!$H$3,"",MOD(ROW()-4,Trainingsdaten!$H$4)+1)</f>
        <v/>
      </c>
      <c r="B358" s="11" t="str">
        <f>IF(INT((ROW()-4)/Trainingsdaten!$H$4)+1&gt;Trainingsdaten!$H$3,"",INT((ROW()-4)/Trainingsdaten!$H$4)+1)</f>
        <v/>
      </c>
      <c r="C358" s="9" t="str">
        <f>IF(INT((ROW()-4)/Trainingsdaten!$H$4)+1&gt;Trainingsdaten!$H$3,"",MOD(ROW()-4,Trainingsdaten!$H$4)+1)</f>
        <v/>
      </c>
      <c r="D358" s="9" t="str">
        <f>IF($B358&gt;Trainingsdaten!$H$3,"",INDEX(Trainingsdaten!B:B,$C358+1))</f>
        <v/>
      </c>
      <c r="E358" s="7" t="str">
        <f>IF($B358&gt;Trainingsdaten!$H$3,"",INDEX(Trainingsdaten!C:C,$C358+1))</f>
        <v/>
      </c>
      <c r="F358" s="7" t="str">
        <f>IF($B358&gt;Trainingsdaten!$H$3,"",INDEX(Trainingsdaten!D:D,$C358+1))</f>
        <v/>
      </c>
      <c r="G358" s="7" t="str">
        <f>IF($B358&gt;Trainingsdaten!$H$3,"",INDEX(Trainingsdaten!E:E,$C358+1))</f>
        <v/>
      </c>
      <c r="H358" s="11" t="str">
        <f>IF($B358&gt;Trainingsdaten!$H$3,"",Trainingsdaten!$H$2)</f>
        <v/>
      </c>
      <c r="I358" s="7" t="str">
        <f>IF(B358&gt;Trainingsdaten!$H$3,"",I357+H358*N357*E358)</f>
        <v/>
      </c>
      <c r="J358" s="7" t="str">
        <f>IF(B358&gt;Trainingsdaten!$H$3,"",J357+H358*N357*F358)</f>
        <v/>
      </c>
      <c r="K358" s="7" t="str">
        <f>IF(B358&gt;Trainingsdaten!$H$3,"",K357+H358*N357)</f>
        <v/>
      </c>
      <c r="L358" s="7" t="str">
        <f>IF(B358&gt;Trainingsdaten!$H$3,"",E358*I358+F358*J358+K358)</f>
        <v/>
      </c>
      <c r="M358" s="7" t="str">
        <f>IF(B358&gt;Trainingsdaten!$H$3,"",IF(L358&gt;0,1,0))</f>
        <v/>
      </c>
      <c r="N358" s="7" t="str">
        <f>IF(B358&gt;Trainingsdaten!$H$3,"",G358-M358)</f>
        <v/>
      </c>
    </row>
    <row r="359" spans="1:14" x14ac:dyDescent="0.25">
      <c r="A359" s="9" t="str">
        <f>IF($B359&gt;Trainingsdaten!$H$3,"",MOD(ROW()-4,Trainingsdaten!$H$4)+1)</f>
        <v/>
      </c>
      <c r="B359" s="11" t="str">
        <f>IF(INT((ROW()-4)/Trainingsdaten!$H$4)+1&gt;Trainingsdaten!$H$3,"",INT((ROW()-4)/Trainingsdaten!$H$4)+1)</f>
        <v/>
      </c>
      <c r="C359" s="9" t="str">
        <f>IF(INT((ROW()-4)/Trainingsdaten!$H$4)+1&gt;Trainingsdaten!$H$3,"",MOD(ROW()-4,Trainingsdaten!$H$4)+1)</f>
        <v/>
      </c>
      <c r="D359" s="9" t="str">
        <f>IF($B359&gt;Trainingsdaten!$H$3,"",INDEX(Trainingsdaten!B:B,$C359+1))</f>
        <v/>
      </c>
      <c r="E359" s="7" t="str">
        <f>IF($B359&gt;Trainingsdaten!$H$3,"",INDEX(Trainingsdaten!C:C,$C359+1))</f>
        <v/>
      </c>
      <c r="F359" s="7" t="str">
        <f>IF($B359&gt;Trainingsdaten!$H$3,"",INDEX(Trainingsdaten!D:D,$C359+1))</f>
        <v/>
      </c>
      <c r="G359" s="7" t="str">
        <f>IF($B359&gt;Trainingsdaten!$H$3,"",INDEX(Trainingsdaten!E:E,$C359+1))</f>
        <v/>
      </c>
      <c r="H359" s="11" t="str">
        <f>IF($B359&gt;Trainingsdaten!$H$3,"",Trainingsdaten!$H$2)</f>
        <v/>
      </c>
      <c r="I359" s="7" t="str">
        <f>IF(B359&gt;Trainingsdaten!$H$3,"",I358+H359*N358*E359)</f>
        <v/>
      </c>
      <c r="J359" s="7" t="str">
        <f>IF(B359&gt;Trainingsdaten!$H$3,"",J358+H359*N358*F359)</f>
        <v/>
      </c>
      <c r="K359" s="7" t="str">
        <f>IF(B359&gt;Trainingsdaten!$H$3,"",K358+H359*N358)</f>
        <v/>
      </c>
      <c r="L359" s="7" t="str">
        <f>IF(B359&gt;Trainingsdaten!$H$3,"",E359*I359+F359*J359+K359)</f>
        <v/>
      </c>
      <c r="M359" s="7" t="str">
        <f>IF(B359&gt;Trainingsdaten!$H$3,"",IF(L359&gt;0,1,0))</f>
        <v/>
      </c>
      <c r="N359" s="7" t="str">
        <f>IF(B359&gt;Trainingsdaten!$H$3,"",G359-M359)</f>
        <v/>
      </c>
    </row>
    <row r="360" spans="1:14" x14ac:dyDescent="0.25">
      <c r="A360" s="9" t="str">
        <f>IF($B360&gt;Trainingsdaten!$H$3,"",MOD(ROW()-4,Trainingsdaten!$H$4)+1)</f>
        <v/>
      </c>
      <c r="B360" s="11" t="str">
        <f>IF(INT((ROW()-4)/Trainingsdaten!$H$4)+1&gt;Trainingsdaten!$H$3,"",INT((ROW()-4)/Trainingsdaten!$H$4)+1)</f>
        <v/>
      </c>
      <c r="C360" s="9" t="str">
        <f>IF(INT((ROW()-4)/Trainingsdaten!$H$4)+1&gt;Trainingsdaten!$H$3,"",MOD(ROW()-4,Trainingsdaten!$H$4)+1)</f>
        <v/>
      </c>
      <c r="D360" s="9" t="str">
        <f>IF($B360&gt;Trainingsdaten!$H$3,"",INDEX(Trainingsdaten!B:B,$C360+1))</f>
        <v/>
      </c>
      <c r="E360" s="7" t="str">
        <f>IF($B360&gt;Trainingsdaten!$H$3,"",INDEX(Trainingsdaten!C:C,$C360+1))</f>
        <v/>
      </c>
      <c r="F360" s="7" t="str">
        <f>IF($B360&gt;Trainingsdaten!$H$3,"",INDEX(Trainingsdaten!D:D,$C360+1))</f>
        <v/>
      </c>
      <c r="G360" s="7" t="str">
        <f>IF($B360&gt;Trainingsdaten!$H$3,"",INDEX(Trainingsdaten!E:E,$C360+1))</f>
        <v/>
      </c>
      <c r="H360" s="11" t="str">
        <f>IF($B360&gt;Trainingsdaten!$H$3,"",Trainingsdaten!$H$2)</f>
        <v/>
      </c>
      <c r="I360" s="7" t="str">
        <f>IF(B360&gt;Trainingsdaten!$H$3,"",I359+H360*N359*E360)</f>
        <v/>
      </c>
      <c r="J360" s="7" t="str">
        <f>IF(B360&gt;Trainingsdaten!$H$3,"",J359+H360*N359*F360)</f>
        <v/>
      </c>
      <c r="K360" s="7" t="str">
        <f>IF(B360&gt;Trainingsdaten!$H$3,"",K359+H360*N359)</f>
        <v/>
      </c>
      <c r="L360" s="7" t="str">
        <f>IF(B360&gt;Trainingsdaten!$H$3,"",E360*I360+F360*J360+K360)</f>
        <v/>
      </c>
      <c r="M360" s="7" t="str">
        <f>IF(B360&gt;Trainingsdaten!$H$3,"",IF(L360&gt;0,1,0))</f>
        <v/>
      </c>
      <c r="N360" s="7" t="str">
        <f>IF(B360&gt;Trainingsdaten!$H$3,"",G360-M360)</f>
        <v/>
      </c>
    </row>
    <row r="361" spans="1:14" x14ac:dyDescent="0.25">
      <c r="A361" s="9" t="str">
        <f>IF($B361&gt;Trainingsdaten!$H$3,"",MOD(ROW()-4,Trainingsdaten!$H$4)+1)</f>
        <v/>
      </c>
      <c r="B361" s="11" t="str">
        <f>IF(INT((ROW()-4)/Trainingsdaten!$H$4)+1&gt;Trainingsdaten!$H$3,"",INT((ROW()-4)/Trainingsdaten!$H$4)+1)</f>
        <v/>
      </c>
      <c r="C361" s="9" t="str">
        <f>IF(INT((ROW()-4)/Trainingsdaten!$H$4)+1&gt;Trainingsdaten!$H$3,"",MOD(ROW()-4,Trainingsdaten!$H$4)+1)</f>
        <v/>
      </c>
      <c r="D361" s="9" t="str">
        <f>IF($B361&gt;Trainingsdaten!$H$3,"",INDEX(Trainingsdaten!B:B,$C361+1))</f>
        <v/>
      </c>
      <c r="E361" s="7" t="str">
        <f>IF($B361&gt;Trainingsdaten!$H$3,"",INDEX(Trainingsdaten!C:C,$C361+1))</f>
        <v/>
      </c>
      <c r="F361" s="7" t="str">
        <f>IF($B361&gt;Trainingsdaten!$H$3,"",INDEX(Trainingsdaten!D:D,$C361+1))</f>
        <v/>
      </c>
      <c r="G361" s="7" t="str">
        <f>IF($B361&gt;Trainingsdaten!$H$3,"",INDEX(Trainingsdaten!E:E,$C361+1))</f>
        <v/>
      </c>
      <c r="H361" s="11" t="str">
        <f>IF($B361&gt;Trainingsdaten!$H$3,"",Trainingsdaten!$H$2)</f>
        <v/>
      </c>
      <c r="I361" s="7" t="str">
        <f>IF(B361&gt;Trainingsdaten!$H$3,"",I360+H361*N360*E361)</f>
        <v/>
      </c>
      <c r="J361" s="7" t="str">
        <f>IF(B361&gt;Trainingsdaten!$H$3,"",J360+H361*N360*F361)</f>
        <v/>
      </c>
      <c r="K361" s="7" t="str">
        <f>IF(B361&gt;Trainingsdaten!$H$3,"",K360+H361*N360)</f>
        <v/>
      </c>
      <c r="L361" s="7" t="str">
        <f>IF(B361&gt;Trainingsdaten!$H$3,"",E361*I361+F361*J361+K361)</f>
        <v/>
      </c>
      <c r="M361" s="7" t="str">
        <f>IF(B361&gt;Trainingsdaten!$H$3,"",IF(L361&gt;0,1,0))</f>
        <v/>
      </c>
      <c r="N361" s="7" t="str">
        <f>IF(B361&gt;Trainingsdaten!$H$3,"",G361-M361)</f>
        <v/>
      </c>
    </row>
    <row r="362" spans="1:14" x14ac:dyDescent="0.25">
      <c r="A362" s="9" t="str">
        <f>IF($B362&gt;Trainingsdaten!$H$3,"",MOD(ROW()-4,Trainingsdaten!$H$4)+1)</f>
        <v/>
      </c>
      <c r="B362" s="11" t="str">
        <f>IF(INT((ROW()-4)/Trainingsdaten!$H$4)+1&gt;Trainingsdaten!$H$3,"",INT((ROW()-4)/Trainingsdaten!$H$4)+1)</f>
        <v/>
      </c>
      <c r="C362" s="9" t="str">
        <f>IF(INT((ROW()-4)/Trainingsdaten!$H$4)+1&gt;Trainingsdaten!$H$3,"",MOD(ROW()-4,Trainingsdaten!$H$4)+1)</f>
        <v/>
      </c>
      <c r="D362" s="9" t="str">
        <f>IF($B362&gt;Trainingsdaten!$H$3,"",INDEX(Trainingsdaten!B:B,$C362+1))</f>
        <v/>
      </c>
      <c r="E362" s="7" t="str">
        <f>IF($B362&gt;Trainingsdaten!$H$3,"",INDEX(Trainingsdaten!C:C,$C362+1))</f>
        <v/>
      </c>
      <c r="F362" s="7" t="str">
        <f>IF($B362&gt;Trainingsdaten!$H$3,"",INDEX(Trainingsdaten!D:D,$C362+1))</f>
        <v/>
      </c>
      <c r="G362" s="7" t="str">
        <f>IF($B362&gt;Trainingsdaten!$H$3,"",INDEX(Trainingsdaten!E:E,$C362+1))</f>
        <v/>
      </c>
      <c r="H362" s="11" t="str">
        <f>IF($B362&gt;Trainingsdaten!$H$3,"",Trainingsdaten!$H$2)</f>
        <v/>
      </c>
      <c r="I362" s="7" t="str">
        <f>IF(B362&gt;Trainingsdaten!$H$3,"",I361+H362*N361*E362)</f>
        <v/>
      </c>
      <c r="J362" s="7" t="str">
        <f>IF(B362&gt;Trainingsdaten!$H$3,"",J361+H362*N361*F362)</f>
        <v/>
      </c>
      <c r="K362" s="7" t="str">
        <f>IF(B362&gt;Trainingsdaten!$H$3,"",K361+H362*N361)</f>
        <v/>
      </c>
      <c r="L362" s="7" t="str">
        <f>IF(B362&gt;Trainingsdaten!$H$3,"",E362*I362+F362*J362+K362)</f>
        <v/>
      </c>
      <c r="M362" s="7" t="str">
        <f>IF(B362&gt;Trainingsdaten!$H$3,"",IF(L362&gt;0,1,0))</f>
        <v/>
      </c>
      <c r="N362" s="7" t="str">
        <f>IF(B362&gt;Trainingsdaten!$H$3,"",G362-M362)</f>
        <v/>
      </c>
    </row>
    <row r="363" spans="1:14" x14ac:dyDescent="0.25">
      <c r="A363" s="9" t="str">
        <f>IF($B363&gt;Trainingsdaten!$H$3,"",MOD(ROW()-4,Trainingsdaten!$H$4)+1)</f>
        <v/>
      </c>
      <c r="B363" s="11" t="str">
        <f>IF(INT((ROW()-4)/Trainingsdaten!$H$4)+1&gt;Trainingsdaten!$H$3,"",INT((ROW()-4)/Trainingsdaten!$H$4)+1)</f>
        <v/>
      </c>
      <c r="C363" s="9" t="str">
        <f>IF(INT((ROW()-4)/Trainingsdaten!$H$4)+1&gt;Trainingsdaten!$H$3,"",MOD(ROW()-4,Trainingsdaten!$H$4)+1)</f>
        <v/>
      </c>
      <c r="D363" s="9" t="str">
        <f>IF($B363&gt;Trainingsdaten!$H$3,"",INDEX(Trainingsdaten!B:B,$C363+1))</f>
        <v/>
      </c>
      <c r="E363" s="7" t="str">
        <f>IF($B363&gt;Trainingsdaten!$H$3,"",INDEX(Trainingsdaten!C:C,$C363+1))</f>
        <v/>
      </c>
      <c r="F363" s="7" t="str">
        <f>IF($B363&gt;Trainingsdaten!$H$3,"",INDEX(Trainingsdaten!D:D,$C363+1))</f>
        <v/>
      </c>
      <c r="G363" s="7" t="str">
        <f>IF($B363&gt;Trainingsdaten!$H$3,"",INDEX(Trainingsdaten!E:E,$C363+1))</f>
        <v/>
      </c>
      <c r="H363" s="11" t="str">
        <f>IF($B363&gt;Trainingsdaten!$H$3,"",Trainingsdaten!$H$2)</f>
        <v/>
      </c>
      <c r="I363" s="7" t="str">
        <f>IF(B363&gt;Trainingsdaten!$H$3,"",I362+H363*N362*E363)</f>
        <v/>
      </c>
      <c r="J363" s="7" t="str">
        <f>IF(B363&gt;Trainingsdaten!$H$3,"",J362+H363*N362*F363)</f>
        <v/>
      </c>
      <c r="K363" s="7" t="str">
        <f>IF(B363&gt;Trainingsdaten!$H$3,"",K362+H363*N362)</f>
        <v/>
      </c>
      <c r="L363" s="7" t="str">
        <f>IF(B363&gt;Trainingsdaten!$H$3,"",E363*I363+F363*J363+K363)</f>
        <v/>
      </c>
      <c r="M363" s="7" t="str">
        <f>IF(B363&gt;Trainingsdaten!$H$3,"",IF(L363&gt;0,1,0))</f>
        <v/>
      </c>
      <c r="N363" s="7" t="str">
        <f>IF(B363&gt;Trainingsdaten!$H$3,"",G363-M363)</f>
        <v/>
      </c>
    </row>
    <row r="364" spans="1:14" x14ac:dyDescent="0.25">
      <c r="A364" s="9" t="str">
        <f>IF($B364&gt;Trainingsdaten!$H$3,"",MOD(ROW()-4,Trainingsdaten!$H$4)+1)</f>
        <v/>
      </c>
      <c r="B364" s="11" t="str">
        <f>IF(INT((ROW()-4)/Trainingsdaten!$H$4)+1&gt;Trainingsdaten!$H$3,"",INT((ROW()-4)/Trainingsdaten!$H$4)+1)</f>
        <v/>
      </c>
      <c r="C364" s="9" t="str">
        <f>IF(INT((ROW()-4)/Trainingsdaten!$H$4)+1&gt;Trainingsdaten!$H$3,"",MOD(ROW()-4,Trainingsdaten!$H$4)+1)</f>
        <v/>
      </c>
      <c r="D364" s="9" t="str">
        <f>IF($B364&gt;Trainingsdaten!$H$3,"",INDEX(Trainingsdaten!B:B,$C364+1))</f>
        <v/>
      </c>
      <c r="E364" s="7" t="str">
        <f>IF($B364&gt;Trainingsdaten!$H$3,"",INDEX(Trainingsdaten!C:C,$C364+1))</f>
        <v/>
      </c>
      <c r="F364" s="7" t="str">
        <f>IF($B364&gt;Trainingsdaten!$H$3,"",INDEX(Trainingsdaten!D:D,$C364+1))</f>
        <v/>
      </c>
      <c r="G364" s="7" t="str">
        <f>IF($B364&gt;Trainingsdaten!$H$3,"",INDEX(Trainingsdaten!E:E,$C364+1))</f>
        <v/>
      </c>
      <c r="H364" s="11" t="str">
        <f>IF($B364&gt;Trainingsdaten!$H$3,"",Trainingsdaten!$H$2)</f>
        <v/>
      </c>
      <c r="I364" s="7" t="str">
        <f>IF(B364&gt;Trainingsdaten!$H$3,"",I363+H364*N363*E364)</f>
        <v/>
      </c>
      <c r="J364" s="7" t="str">
        <f>IF(B364&gt;Trainingsdaten!$H$3,"",J363+H364*N363*F364)</f>
        <v/>
      </c>
      <c r="K364" s="7" t="str">
        <f>IF(B364&gt;Trainingsdaten!$H$3,"",K363+H364*N363)</f>
        <v/>
      </c>
      <c r="L364" s="7" t="str">
        <f>IF(B364&gt;Trainingsdaten!$H$3,"",E364*I364+F364*J364+K364)</f>
        <v/>
      </c>
      <c r="M364" s="7" t="str">
        <f>IF(B364&gt;Trainingsdaten!$H$3,"",IF(L364&gt;0,1,0))</f>
        <v/>
      </c>
      <c r="N364" s="7" t="str">
        <f>IF(B364&gt;Trainingsdaten!$H$3,"",G364-M364)</f>
        <v/>
      </c>
    </row>
    <row r="365" spans="1:14" x14ac:dyDescent="0.25">
      <c r="A365" s="9" t="str">
        <f>IF($B365&gt;Trainingsdaten!$H$3,"",MOD(ROW()-4,Trainingsdaten!$H$4)+1)</f>
        <v/>
      </c>
      <c r="B365" s="11" t="str">
        <f>IF(INT((ROW()-4)/Trainingsdaten!$H$4)+1&gt;Trainingsdaten!$H$3,"",INT((ROW()-4)/Trainingsdaten!$H$4)+1)</f>
        <v/>
      </c>
      <c r="C365" s="9" t="str">
        <f>IF(INT((ROW()-4)/Trainingsdaten!$H$4)+1&gt;Trainingsdaten!$H$3,"",MOD(ROW()-4,Trainingsdaten!$H$4)+1)</f>
        <v/>
      </c>
      <c r="D365" s="9" t="str">
        <f>IF($B365&gt;Trainingsdaten!$H$3,"",INDEX(Trainingsdaten!B:B,$C365+1))</f>
        <v/>
      </c>
      <c r="E365" s="7" t="str">
        <f>IF($B365&gt;Trainingsdaten!$H$3,"",INDEX(Trainingsdaten!C:C,$C365+1))</f>
        <v/>
      </c>
      <c r="F365" s="7" t="str">
        <f>IF($B365&gt;Trainingsdaten!$H$3,"",INDEX(Trainingsdaten!D:D,$C365+1))</f>
        <v/>
      </c>
      <c r="G365" s="7" t="str">
        <f>IF($B365&gt;Trainingsdaten!$H$3,"",INDEX(Trainingsdaten!E:E,$C365+1))</f>
        <v/>
      </c>
      <c r="H365" s="11" t="str">
        <f>IF($B365&gt;Trainingsdaten!$H$3,"",Trainingsdaten!$H$2)</f>
        <v/>
      </c>
      <c r="I365" s="7" t="str">
        <f>IF(B365&gt;Trainingsdaten!$H$3,"",I364+H365*N364*E365)</f>
        <v/>
      </c>
      <c r="J365" s="7" t="str">
        <f>IF(B365&gt;Trainingsdaten!$H$3,"",J364+H365*N364*F365)</f>
        <v/>
      </c>
      <c r="K365" s="7" t="str">
        <f>IF(B365&gt;Trainingsdaten!$H$3,"",K364+H365*N364)</f>
        <v/>
      </c>
      <c r="L365" s="7" t="str">
        <f>IF(B365&gt;Trainingsdaten!$H$3,"",E365*I365+F365*J365+K365)</f>
        <v/>
      </c>
      <c r="M365" s="7" t="str">
        <f>IF(B365&gt;Trainingsdaten!$H$3,"",IF(L365&gt;0,1,0))</f>
        <v/>
      </c>
      <c r="N365" s="7" t="str">
        <f>IF(B365&gt;Trainingsdaten!$H$3,"",G365-M365)</f>
        <v/>
      </c>
    </row>
    <row r="366" spans="1:14" x14ac:dyDescent="0.25">
      <c r="A366" s="9" t="str">
        <f>IF($B366&gt;Trainingsdaten!$H$3,"",MOD(ROW()-4,Trainingsdaten!$H$4)+1)</f>
        <v/>
      </c>
      <c r="B366" s="11" t="str">
        <f>IF(INT((ROW()-4)/Trainingsdaten!$H$4)+1&gt;Trainingsdaten!$H$3,"",INT((ROW()-4)/Trainingsdaten!$H$4)+1)</f>
        <v/>
      </c>
      <c r="C366" s="9" t="str">
        <f>IF(INT((ROW()-4)/Trainingsdaten!$H$4)+1&gt;Trainingsdaten!$H$3,"",MOD(ROW()-4,Trainingsdaten!$H$4)+1)</f>
        <v/>
      </c>
      <c r="D366" s="9" t="str">
        <f>IF($B366&gt;Trainingsdaten!$H$3,"",INDEX(Trainingsdaten!B:B,$C366+1))</f>
        <v/>
      </c>
      <c r="E366" s="7" t="str">
        <f>IF($B366&gt;Trainingsdaten!$H$3,"",INDEX(Trainingsdaten!C:C,$C366+1))</f>
        <v/>
      </c>
      <c r="F366" s="7" t="str">
        <f>IF($B366&gt;Trainingsdaten!$H$3,"",INDEX(Trainingsdaten!D:D,$C366+1))</f>
        <v/>
      </c>
      <c r="G366" s="7" t="str">
        <f>IF($B366&gt;Trainingsdaten!$H$3,"",INDEX(Trainingsdaten!E:E,$C366+1))</f>
        <v/>
      </c>
      <c r="H366" s="11" t="str">
        <f>IF($B366&gt;Trainingsdaten!$H$3,"",Trainingsdaten!$H$2)</f>
        <v/>
      </c>
      <c r="I366" s="7" t="str">
        <f>IF(B366&gt;Trainingsdaten!$H$3,"",I365+H366*N365*E366)</f>
        <v/>
      </c>
      <c r="J366" s="7" t="str">
        <f>IF(B366&gt;Trainingsdaten!$H$3,"",J365+H366*N365*F366)</f>
        <v/>
      </c>
      <c r="K366" s="7" t="str">
        <f>IF(B366&gt;Trainingsdaten!$H$3,"",K365+H366*N365)</f>
        <v/>
      </c>
      <c r="L366" s="7" t="str">
        <f>IF(B366&gt;Trainingsdaten!$H$3,"",E366*I366+F366*J366+K366)</f>
        <v/>
      </c>
      <c r="M366" s="7" t="str">
        <f>IF(B366&gt;Trainingsdaten!$H$3,"",IF(L366&gt;0,1,0))</f>
        <v/>
      </c>
      <c r="N366" s="7" t="str">
        <f>IF(B366&gt;Trainingsdaten!$H$3,"",G366-M366)</f>
        <v/>
      </c>
    </row>
    <row r="367" spans="1:14" x14ac:dyDescent="0.25">
      <c r="A367" s="9" t="str">
        <f>IF($B367&gt;Trainingsdaten!$H$3,"",MOD(ROW()-4,Trainingsdaten!$H$4)+1)</f>
        <v/>
      </c>
      <c r="B367" s="11" t="str">
        <f>IF(INT((ROW()-4)/Trainingsdaten!$H$4)+1&gt;Trainingsdaten!$H$3,"",INT((ROW()-4)/Trainingsdaten!$H$4)+1)</f>
        <v/>
      </c>
      <c r="C367" s="9" t="str">
        <f>IF(INT((ROW()-4)/Trainingsdaten!$H$4)+1&gt;Trainingsdaten!$H$3,"",MOD(ROW()-4,Trainingsdaten!$H$4)+1)</f>
        <v/>
      </c>
      <c r="D367" s="9" t="str">
        <f>IF($B367&gt;Trainingsdaten!$H$3,"",INDEX(Trainingsdaten!B:B,$C367+1))</f>
        <v/>
      </c>
      <c r="E367" s="7" t="str">
        <f>IF($B367&gt;Trainingsdaten!$H$3,"",INDEX(Trainingsdaten!C:C,$C367+1))</f>
        <v/>
      </c>
      <c r="F367" s="7" t="str">
        <f>IF($B367&gt;Trainingsdaten!$H$3,"",INDEX(Trainingsdaten!D:D,$C367+1))</f>
        <v/>
      </c>
      <c r="G367" s="7" t="str">
        <f>IF($B367&gt;Trainingsdaten!$H$3,"",INDEX(Trainingsdaten!E:E,$C367+1))</f>
        <v/>
      </c>
      <c r="H367" s="11" t="str">
        <f>IF($B367&gt;Trainingsdaten!$H$3,"",Trainingsdaten!$H$2)</f>
        <v/>
      </c>
      <c r="I367" s="7" t="str">
        <f>IF(B367&gt;Trainingsdaten!$H$3,"",I366+H367*N366*E367)</f>
        <v/>
      </c>
      <c r="J367" s="7" t="str">
        <f>IF(B367&gt;Trainingsdaten!$H$3,"",J366+H367*N366*F367)</f>
        <v/>
      </c>
      <c r="K367" s="7" t="str">
        <f>IF(B367&gt;Trainingsdaten!$H$3,"",K366+H367*N366)</f>
        <v/>
      </c>
      <c r="L367" s="7" t="str">
        <f>IF(B367&gt;Trainingsdaten!$H$3,"",E367*I367+F367*J367+K367)</f>
        <v/>
      </c>
      <c r="M367" s="7" t="str">
        <f>IF(B367&gt;Trainingsdaten!$H$3,"",IF(L367&gt;0,1,0))</f>
        <v/>
      </c>
      <c r="N367" s="7" t="str">
        <f>IF(B367&gt;Trainingsdaten!$H$3,"",G367-M367)</f>
        <v/>
      </c>
    </row>
    <row r="368" spans="1:14" x14ac:dyDescent="0.25">
      <c r="A368" s="9" t="str">
        <f>IF($B368&gt;Trainingsdaten!$H$3,"",MOD(ROW()-4,Trainingsdaten!$H$4)+1)</f>
        <v/>
      </c>
      <c r="B368" s="11" t="str">
        <f>IF(INT((ROW()-4)/Trainingsdaten!$H$4)+1&gt;Trainingsdaten!$H$3,"",INT((ROW()-4)/Trainingsdaten!$H$4)+1)</f>
        <v/>
      </c>
      <c r="C368" s="9" t="str">
        <f>IF(INT((ROW()-4)/Trainingsdaten!$H$4)+1&gt;Trainingsdaten!$H$3,"",MOD(ROW()-4,Trainingsdaten!$H$4)+1)</f>
        <v/>
      </c>
      <c r="D368" s="9" t="str">
        <f>IF($B368&gt;Trainingsdaten!$H$3,"",INDEX(Trainingsdaten!B:B,$C368+1))</f>
        <v/>
      </c>
      <c r="E368" s="7" t="str">
        <f>IF($B368&gt;Trainingsdaten!$H$3,"",INDEX(Trainingsdaten!C:C,$C368+1))</f>
        <v/>
      </c>
      <c r="F368" s="7" t="str">
        <f>IF($B368&gt;Trainingsdaten!$H$3,"",INDEX(Trainingsdaten!D:D,$C368+1))</f>
        <v/>
      </c>
      <c r="G368" s="7" t="str">
        <f>IF($B368&gt;Trainingsdaten!$H$3,"",INDEX(Trainingsdaten!E:E,$C368+1))</f>
        <v/>
      </c>
      <c r="H368" s="11" t="str">
        <f>IF($B368&gt;Trainingsdaten!$H$3,"",Trainingsdaten!$H$2)</f>
        <v/>
      </c>
      <c r="I368" s="7" t="str">
        <f>IF(B368&gt;Trainingsdaten!$H$3,"",I367+H368*N367*E368)</f>
        <v/>
      </c>
      <c r="J368" s="7" t="str">
        <f>IF(B368&gt;Trainingsdaten!$H$3,"",J367+H368*N367*F368)</f>
        <v/>
      </c>
      <c r="K368" s="7" t="str">
        <f>IF(B368&gt;Trainingsdaten!$H$3,"",K367+H368*N367)</f>
        <v/>
      </c>
      <c r="L368" s="7" t="str">
        <f>IF(B368&gt;Trainingsdaten!$H$3,"",E368*I368+F368*J368+K368)</f>
        <v/>
      </c>
      <c r="M368" s="7" t="str">
        <f>IF(B368&gt;Trainingsdaten!$H$3,"",IF(L368&gt;0,1,0))</f>
        <v/>
      </c>
      <c r="N368" s="7" t="str">
        <f>IF(B368&gt;Trainingsdaten!$H$3,"",G368-M368)</f>
        <v/>
      </c>
    </row>
    <row r="369" spans="1:14" x14ac:dyDescent="0.25">
      <c r="A369" s="9" t="str">
        <f>IF($B369&gt;Trainingsdaten!$H$3,"",MOD(ROW()-4,Trainingsdaten!$H$4)+1)</f>
        <v/>
      </c>
      <c r="B369" s="11" t="str">
        <f>IF(INT((ROW()-4)/Trainingsdaten!$H$4)+1&gt;Trainingsdaten!$H$3,"",INT((ROW()-4)/Trainingsdaten!$H$4)+1)</f>
        <v/>
      </c>
      <c r="C369" s="9" t="str">
        <f>IF(INT((ROW()-4)/Trainingsdaten!$H$4)+1&gt;Trainingsdaten!$H$3,"",MOD(ROW()-4,Trainingsdaten!$H$4)+1)</f>
        <v/>
      </c>
      <c r="D369" s="9" t="str">
        <f>IF($B369&gt;Trainingsdaten!$H$3,"",INDEX(Trainingsdaten!B:B,$C369+1))</f>
        <v/>
      </c>
      <c r="E369" s="7" t="str">
        <f>IF($B369&gt;Trainingsdaten!$H$3,"",INDEX(Trainingsdaten!C:C,$C369+1))</f>
        <v/>
      </c>
      <c r="F369" s="7" t="str">
        <f>IF($B369&gt;Trainingsdaten!$H$3,"",INDEX(Trainingsdaten!D:D,$C369+1))</f>
        <v/>
      </c>
      <c r="G369" s="7" t="str">
        <f>IF($B369&gt;Trainingsdaten!$H$3,"",INDEX(Trainingsdaten!E:E,$C369+1))</f>
        <v/>
      </c>
      <c r="H369" s="11" t="str">
        <f>IF($B369&gt;Trainingsdaten!$H$3,"",Trainingsdaten!$H$2)</f>
        <v/>
      </c>
      <c r="I369" s="7" t="str">
        <f>IF(B369&gt;Trainingsdaten!$H$3,"",I368+H369*N368*E369)</f>
        <v/>
      </c>
      <c r="J369" s="7" t="str">
        <f>IF(B369&gt;Trainingsdaten!$H$3,"",J368+H369*N368*F369)</f>
        <v/>
      </c>
      <c r="K369" s="7" t="str">
        <f>IF(B369&gt;Trainingsdaten!$H$3,"",K368+H369*N368)</f>
        <v/>
      </c>
      <c r="L369" s="7" t="str">
        <f>IF(B369&gt;Trainingsdaten!$H$3,"",E369*I369+F369*J369+K369)</f>
        <v/>
      </c>
      <c r="M369" s="7" t="str">
        <f>IF(B369&gt;Trainingsdaten!$H$3,"",IF(L369&gt;0,1,0))</f>
        <v/>
      </c>
      <c r="N369" s="7" t="str">
        <f>IF(B369&gt;Trainingsdaten!$H$3,"",G369-M369)</f>
        <v/>
      </c>
    </row>
    <row r="370" spans="1:14" x14ac:dyDescent="0.25">
      <c r="A370" s="9" t="str">
        <f>IF($B370&gt;Trainingsdaten!$H$3,"",MOD(ROW()-4,Trainingsdaten!$H$4)+1)</f>
        <v/>
      </c>
      <c r="B370" s="11" t="str">
        <f>IF(INT((ROW()-4)/Trainingsdaten!$H$4)+1&gt;Trainingsdaten!$H$3,"",INT((ROW()-4)/Trainingsdaten!$H$4)+1)</f>
        <v/>
      </c>
      <c r="C370" s="9" t="str">
        <f>IF(INT((ROW()-4)/Trainingsdaten!$H$4)+1&gt;Trainingsdaten!$H$3,"",MOD(ROW()-4,Trainingsdaten!$H$4)+1)</f>
        <v/>
      </c>
      <c r="D370" s="9" t="str">
        <f>IF($B370&gt;Trainingsdaten!$H$3,"",INDEX(Trainingsdaten!B:B,$C370+1))</f>
        <v/>
      </c>
      <c r="E370" s="7" t="str">
        <f>IF($B370&gt;Trainingsdaten!$H$3,"",INDEX(Trainingsdaten!C:C,$C370+1))</f>
        <v/>
      </c>
      <c r="F370" s="7" t="str">
        <f>IF($B370&gt;Trainingsdaten!$H$3,"",INDEX(Trainingsdaten!D:D,$C370+1))</f>
        <v/>
      </c>
      <c r="G370" s="7" t="str">
        <f>IF($B370&gt;Trainingsdaten!$H$3,"",INDEX(Trainingsdaten!E:E,$C370+1))</f>
        <v/>
      </c>
      <c r="H370" s="11" t="str">
        <f>IF($B370&gt;Trainingsdaten!$H$3,"",Trainingsdaten!$H$2)</f>
        <v/>
      </c>
      <c r="I370" s="7" t="str">
        <f>IF(B370&gt;Trainingsdaten!$H$3,"",I369+H370*N369*E370)</f>
        <v/>
      </c>
      <c r="J370" s="7" t="str">
        <f>IF(B370&gt;Trainingsdaten!$H$3,"",J369+H370*N369*F370)</f>
        <v/>
      </c>
      <c r="K370" s="7" t="str">
        <f>IF(B370&gt;Trainingsdaten!$H$3,"",K369+H370*N369)</f>
        <v/>
      </c>
      <c r="L370" s="7" t="str">
        <f>IF(B370&gt;Trainingsdaten!$H$3,"",E370*I370+F370*J370+K370)</f>
        <v/>
      </c>
      <c r="M370" s="7" t="str">
        <f>IF(B370&gt;Trainingsdaten!$H$3,"",IF(L370&gt;0,1,0))</f>
        <v/>
      </c>
      <c r="N370" s="7" t="str">
        <f>IF(B370&gt;Trainingsdaten!$H$3,"",G370-M370)</f>
        <v/>
      </c>
    </row>
    <row r="371" spans="1:14" x14ac:dyDescent="0.25">
      <c r="A371" s="9" t="str">
        <f>IF($B371&gt;Trainingsdaten!$H$3,"",MOD(ROW()-4,Trainingsdaten!$H$4)+1)</f>
        <v/>
      </c>
      <c r="B371" s="11" t="str">
        <f>IF(INT((ROW()-4)/Trainingsdaten!$H$4)+1&gt;Trainingsdaten!$H$3,"",INT((ROW()-4)/Trainingsdaten!$H$4)+1)</f>
        <v/>
      </c>
      <c r="C371" s="9" t="str">
        <f>IF(INT((ROW()-4)/Trainingsdaten!$H$4)+1&gt;Trainingsdaten!$H$3,"",MOD(ROW()-4,Trainingsdaten!$H$4)+1)</f>
        <v/>
      </c>
      <c r="D371" s="9" t="str">
        <f>IF($B371&gt;Trainingsdaten!$H$3,"",INDEX(Trainingsdaten!B:B,$C371+1))</f>
        <v/>
      </c>
      <c r="E371" s="7" t="str">
        <f>IF($B371&gt;Trainingsdaten!$H$3,"",INDEX(Trainingsdaten!C:C,$C371+1))</f>
        <v/>
      </c>
      <c r="F371" s="7" t="str">
        <f>IF($B371&gt;Trainingsdaten!$H$3,"",INDEX(Trainingsdaten!D:D,$C371+1))</f>
        <v/>
      </c>
      <c r="G371" s="7" t="str">
        <f>IF($B371&gt;Trainingsdaten!$H$3,"",INDEX(Trainingsdaten!E:E,$C371+1))</f>
        <v/>
      </c>
      <c r="H371" s="11" t="str">
        <f>IF($B371&gt;Trainingsdaten!$H$3,"",Trainingsdaten!$H$2)</f>
        <v/>
      </c>
      <c r="I371" s="7" t="str">
        <f>IF(B371&gt;Trainingsdaten!$H$3,"",I370+H371*N370*E371)</f>
        <v/>
      </c>
      <c r="J371" s="7" t="str">
        <f>IF(B371&gt;Trainingsdaten!$H$3,"",J370+H371*N370*F371)</f>
        <v/>
      </c>
      <c r="K371" s="7" t="str">
        <f>IF(B371&gt;Trainingsdaten!$H$3,"",K370+H371*N370)</f>
        <v/>
      </c>
      <c r="L371" s="7" t="str">
        <f>IF(B371&gt;Trainingsdaten!$H$3,"",E371*I371+F371*J371+K371)</f>
        <v/>
      </c>
      <c r="M371" s="7" t="str">
        <f>IF(B371&gt;Trainingsdaten!$H$3,"",IF(L371&gt;0,1,0))</f>
        <v/>
      </c>
      <c r="N371" s="7" t="str">
        <f>IF(B371&gt;Trainingsdaten!$H$3,"",G371-M371)</f>
        <v/>
      </c>
    </row>
    <row r="372" spans="1:14" x14ac:dyDescent="0.25">
      <c r="A372" s="9" t="str">
        <f>IF($B372&gt;Trainingsdaten!$H$3,"",MOD(ROW()-4,Trainingsdaten!$H$4)+1)</f>
        <v/>
      </c>
      <c r="B372" s="11" t="str">
        <f>IF(INT((ROW()-4)/Trainingsdaten!$H$4)+1&gt;Trainingsdaten!$H$3,"",INT((ROW()-4)/Trainingsdaten!$H$4)+1)</f>
        <v/>
      </c>
      <c r="C372" s="9" t="str">
        <f>IF(INT((ROW()-4)/Trainingsdaten!$H$4)+1&gt;Trainingsdaten!$H$3,"",MOD(ROW()-4,Trainingsdaten!$H$4)+1)</f>
        <v/>
      </c>
      <c r="D372" s="9" t="str">
        <f>IF($B372&gt;Trainingsdaten!$H$3,"",INDEX(Trainingsdaten!B:B,$C372+1))</f>
        <v/>
      </c>
      <c r="E372" s="7" t="str">
        <f>IF($B372&gt;Trainingsdaten!$H$3,"",INDEX(Trainingsdaten!C:C,$C372+1))</f>
        <v/>
      </c>
      <c r="F372" s="7" t="str">
        <f>IF($B372&gt;Trainingsdaten!$H$3,"",INDEX(Trainingsdaten!D:D,$C372+1))</f>
        <v/>
      </c>
      <c r="G372" s="7" t="str">
        <f>IF($B372&gt;Trainingsdaten!$H$3,"",INDEX(Trainingsdaten!E:E,$C372+1))</f>
        <v/>
      </c>
      <c r="H372" s="11" t="str">
        <f>IF($B372&gt;Trainingsdaten!$H$3,"",Trainingsdaten!$H$2)</f>
        <v/>
      </c>
      <c r="I372" s="7" t="str">
        <f>IF(B372&gt;Trainingsdaten!$H$3,"",I371+H372*N371*E372)</f>
        <v/>
      </c>
      <c r="J372" s="7" t="str">
        <f>IF(B372&gt;Trainingsdaten!$H$3,"",J371+H372*N371*F372)</f>
        <v/>
      </c>
      <c r="K372" s="7" t="str">
        <f>IF(B372&gt;Trainingsdaten!$H$3,"",K371+H372*N371)</f>
        <v/>
      </c>
      <c r="L372" s="7" t="str">
        <f>IF(B372&gt;Trainingsdaten!$H$3,"",E372*I372+F372*J372+K372)</f>
        <v/>
      </c>
      <c r="M372" s="7" t="str">
        <f>IF(B372&gt;Trainingsdaten!$H$3,"",IF(L372&gt;0,1,0))</f>
        <v/>
      </c>
      <c r="N372" s="7" t="str">
        <f>IF(B372&gt;Trainingsdaten!$H$3,"",G372-M372)</f>
        <v/>
      </c>
    </row>
    <row r="373" spans="1:14" x14ac:dyDescent="0.25">
      <c r="A373" s="9" t="str">
        <f>IF($B373&gt;Trainingsdaten!$H$3,"",MOD(ROW()-4,Trainingsdaten!$H$4)+1)</f>
        <v/>
      </c>
      <c r="B373" s="11" t="str">
        <f>IF(INT((ROW()-4)/Trainingsdaten!$H$4)+1&gt;Trainingsdaten!$H$3,"",INT((ROW()-4)/Trainingsdaten!$H$4)+1)</f>
        <v/>
      </c>
      <c r="C373" s="9" t="str">
        <f>IF(INT((ROW()-4)/Trainingsdaten!$H$4)+1&gt;Trainingsdaten!$H$3,"",MOD(ROW()-4,Trainingsdaten!$H$4)+1)</f>
        <v/>
      </c>
      <c r="D373" s="9" t="str">
        <f>IF($B373&gt;Trainingsdaten!$H$3,"",INDEX(Trainingsdaten!B:B,$C373+1))</f>
        <v/>
      </c>
      <c r="E373" s="7" t="str">
        <f>IF($B373&gt;Trainingsdaten!$H$3,"",INDEX(Trainingsdaten!C:C,$C373+1))</f>
        <v/>
      </c>
      <c r="F373" s="7" t="str">
        <f>IF($B373&gt;Trainingsdaten!$H$3,"",INDEX(Trainingsdaten!D:D,$C373+1))</f>
        <v/>
      </c>
      <c r="G373" s="7" t="str">
        <f>IF($B373&gt;Trainingsdaten!$H$3,"",INDEX(Trainingsdaten!E:E,$C373+1))</f>
        <v/>
      </c>
      <c r="H373" s="11" t="str">
        <f>IF($B373&gt;Trainingsdaten!$H$3,"",Trainingsdaten!$H$2)</f>
        <v/>
      </c>
      <c r="I373" s="7" t="str">
        <f>IF(B373&gt;Trainingsdaten!$H$3,"",I372+H373*N372*E373)</f>
        <v/>
      </c>
      <c r="J373" s="7" t="str">
        <f>IF(B373&gt;Trainingsdaten!$H$3,"",J372+H373*N372*F373)</f>
        <v/>
      </c>
      <c r="K373" s="7" t="str">
        <f>IF(B373&gt;Trainingsdaten!$H$3,"",K372+H373*N372)</f>
        <v/>
      </c>
      <c r="L373" s="7" t="str">
        <f>IF(B373&gt;Trainingsdaten!$H$3,"",E373*I373+F373*J373+K373)</f>
        <v/>
      </c>
      <c r="M373" s="7" t="str">
        <f>IF(B373&gt;Trainingsdaten!$H$3,"",IF(L373&gt;0,1,0))</f>
        <v/>
      </c>
      <c r="N373" s="7" t="str">
        <f>IF(B373&gt;Trainingsdaten!$H$3,"",G373-M373)</f>
        <v/>
      </c>
    </row>
    <row r="374" spans="1:14" x14ac:dyDescent="0.25">
      <c r="A374" s="9" t="str">
        <f>IF($B374&gt;Trainingsdaten!$H$3,"",MOD(ROW()-4,Trainingsdaten!$H$4)+1)</f>
        <v/>
      </c>
      <c r="B374" s="11" t="str">
        <f>IF(INT((ROW()-4)/Trainingsdaten!$H$4)+1&gt;Trainingsdaten!$H$3,"",INT((ROW()-4)/Trainingsdaten!$H$4)+1)</f>
        <v/>
      </c>
      <c r="C374" s="9" t="str">
        <f>IF(INT((ROW()-4)/Trainingsdaten!$H$4)+1&gt;Trainingsdaten!$H$3,"",MOD(ROW()-4,Trainingsdaten!$H$4)+1)</f>
        <v/>
      </c>
      <c r="D374" s="9" t="str">
        <f>IF($B374&gt;Trainingsdaten!$H$3,"",INDEX(Trainingsdaten!B:B,$C374+1))</f>
        <v/>
      </c>
      <c r="E374" s="7" t="str">
        <f>IF($B374&gt;Trainingsdaten!$H$3,"",INDEX(Trainingsdaten!C:C,$C374+1))</f>
        <v/>
      </c>
      <c r="F374" s="7" t="str">
        <f>IF($B374&gt;Trainingsdaten!$H$3,"",INDEX(Trainingsdaten!D:D,$C374+1))</f>
        <v/>
      </c>
      <c r="G374" s="7" t="str">
        <f>IF($B374&gt;Trainingsdaten!$H$3,"",INDEX(Trainingsdaten!E:E,$C374+1))</f>
        <v/>
      </c>
      <c r="H374" s="11" t="str">
        <f>IF($B374&gt;Trainingsdaten!$H$3,"",Trainingsdaten!$H$2)</f>
        <v/>
      </c>
      <c r="I374" s="7" t="str">
        <f>IF(B374&gt;Trainingsdaten!$H$3,"",I373+H374*N373*E374)</f>
        <v/>
      </c>
      <c r="J374" s="7" t="str">
        <f>IF(B374&gt;Trainingsdaten!$H$3,"",J373+H374*N373*F374)</f>
        <v/>
      </c>
      <c r="K374" s="7" t="str">
        <f>IF(B374&gt;Trainingsdaten!$H$3,"",K373+H374*N373)</f>
        <v/>
      </c>
      <c r="L374" s="7" t="str">
        <f>IF(B374&gt;Trainingsdaten!$H$3,"",E374*I374+F374*J374+K374)</f>
        <v/>
      </c>
      <c r="M374" s="7" t="str">
        <f>IF(B374&gt;Trainingsdaten!$H$3,"",IF(L374&gt;0,1,0))</f>
        <v/>
      </c>
      <c r="N374" s="7" t="str">
        <f>IF(B374&gt;Trainingsdaten!$H$3,"",G374-M374)</f>
        <v/>
      </c>
    </row>
    <row r="375" spans="1:14" x14ac:dyDescent="0.25">
      <c r="A375" s="9" t="str">
        <f>IF($B375&gt;Trainingsdaten!$H$3,"",MOD(ROW()-4,Trainingsdaten!$H$4)+1)</f>
        <v/>
      </c>
      <c r="B375" s="11" t="str">
        <f>IF(INT((ROW()-4)/Trainingsdaten!$H$4)+1&gt;Trainingsdaten!$H$3,"",INT((ROW()-4)/Trainingsdaten!$H$4)+1)</f>
        <v/>
      </c>
      <c r="C375" s="9" t="str">
        <f>IF(INT((ROW()-4)/Trainingsdaten!$H$4)+1&gt;Trainingsdaten!$H$3,"",MOD(ROW()-4,Trainingsdaten!$H$4)+1)</f>
        <v/>
      </c>
      <c r="D375" s="9" t="str">
        <f>IF($B375&gt;Trainingsdaten!$H$3,"",INDEX(Trainingsdaten!B:B,$C375+1))</f>
        <v/>
      </c>
      <c r="E375" s="7" t="str">
        <f>IF($B375&gt;Trainingsdaten!$H$3,"",INDEX(Trainingsdaten!C:C,$C375+1))</f>
        <v/>
      </c>
      <c r="F375" s="7" t="str">
        <f>IF($B375&gt;Trainingsdaten!$H$3,"",INDEX(Trainingsdaten!D:D,$C375+1))</f>
        <v/>
      </c>
      <c r="G375" s="7" t="str">
        <f>IF($B375&gt;Trainingsdaten!$H$3,"",INDEX(Trainingsdaten!E:E,$C375+1))</f>
        <v/>
      </c>
      <c r="H375" s="11" t="str">
        <f>IF($B375&gt;Trainingsdaten!$H$3,"",Trainingsdaten!$H$2)</f>
        <v/>
      </c>
      <c r="I375" s="7" t="str">
        <f>IF(B375&gt;Trainingsdaten!$H$3,"",I374+H375*N374*E375)</f>
        <v/>
      </c>
      <c r="J375" s="7" t="str">
        <f>IF(B375&gt;Trainingsdaten!$H$3,"",J374+H375*N374*F375)</f>
        <v/>
      </c>
      <c r="K375" s="7" t="str">
        <f>IF(B375&gt;Trainingsdaten!$H$3,"",K374+H375*N374)</f>
        <v/>
      </c>
      <c r="L375" s="7" t="str">
        <f>IF(B375&gt;Trainingsdaten!$H$3,"",E375*I375+F375*J375+K375)</f>
        <v/>
      </c>
      <c r="M375" s="7" t="str">
        <f>IF(B375&gt;Trainingsdaten!$H$3,"",IF(L375&gt;0,1,0))</f>
        <v/>
      </c>
      <c r="N375" s="7" t="str">
        <f>IF(B375&gt;Trainingsdaten!$H$3,"",G375-M375)</f>
        <v/>
      </c>
    </row>
    <row r="376" spans="1:14" x14ac:dyDescent="0.25">
      <c r="A376" s="9" t="str">
        <f>IF($B376&gt;Trainingsdaten!$H$3,"",MOD(ROW()-4,Trainingsdaten!$H$4)+1)</f>
        <v/>
      </c>
      <c r="B376" s="11" t="str">
        <f>IF(INT((ROW()-4)/Trainingsdaten!$H$4)+1&gt;Trainingsdaten!$H$3,"",INT((ROW()-4)/Trainingsdaten!$H$4)+1)</f>
        <v/>
      </c>
      <c r="C376" s="9" t="str">
        <f>IF(INT((ROW()-4)/Trainingsdaten!$H$4)+1&gt;Trainingsdaten!$H$3,"",MOD(ROW()-4,Trainingsdaten!$H$4)+1)</f>
        <v/>
      </c>
      <c r="D376" s="9" t="str">
        <f>IF($B376&gt;Trainingsdaten!$H$3,"",INDEX(Trainingsdaten!B:B,$C376+1))</f>
        <v/>
      </c>
      <c r="E376" s="7" t="str">
        <f>IF($B376&gt;Trainingsdaten!$H$3,"",INDEX(Trainingsdaten!C:C,$C376+1))</f>
        <v/>
      </c>
      <c r="F376" s="7" t="str">
        <f>IF($B376&gt;Trainingsdaten!$H$3,"",INDEX(Trainingsdaten!D:D,$C376+1))</f>
        <v/>
      </c>
      <c r="G376" s="7" t="str">
        <f>IF($B376&gt;Trainingsdaten!$H$3,"",INDEX(Trainingsdaten!E:E,$C376+1))</f>
        <v/>
      </c>
      <c r="H376" s="11" t="str">
        <f>IF($B376&gt;Trainingsdaten!$H$3,"",Trainingsdaten!$H$2)</f>
        <v/>
      </c>
      <c r="I376" s="7" t="str">
        <f>IF(B376&gt;Trainingsdaten!$H$3,"",I375+H376*N375*E376)</f>
        <v/>
      </c>
      <c r="J376" s="7" t="str">
        <f>IF(B376&gt;Trainingsdaten!$H$3,"",J375+H376*N375*F376)</f>
        <v/>
      </c>
      <c r="K376" s="7" t="str">
        <f>IF(B376&gt;Trainingsdaten!$H$3,"",K375+H376*N375)</f>
        <v/>
      </c>
      <c r="L376" s="7" t="str">
        <f>IF(B376&gt;Trainingsdaten!$H$3,"",E376*I376+F376*J376+K376)</f>
        <v/>
      </c>
      <c r="M376" s="7" t="str">
        <f>IF(B376&gt;Trainingsdaten!$H$3,"",IF(L376&gt;0,1,0))</f>
        <v/>
      </c>
      <c r="N376" s="7" t="str">
        <f>IF(B376&gt;Trainingsdaten!$H$3,"",G376-M376)</f>
        <v/>
      </c>
    </row>
    <row r="377" spans="1:14" x14ac:dyDescent="0.25">
      <c r="A377" s="9" t="str">
        <f>IF($B377&gt;Trainingsdaten!$H$3,"",MOD(ROW()-4,Trainingsdaten!$H$4)+1)</f>
        <v/>
      </c>
      <c r="B377" s="11" t="str">
        <f>IF(INT((ROW()-4)/Trainingsdaten!$H$4)+1&gt;Trainingsdaten!$H$3,"",INT((ROW()-4)/Trainingsdaten!$H$4)+1)</f>
        <v/>
      </c>
      <c r="C377" s="9" t="str">
        <f>IF(INT((ROW()-4)/Trainingsdaten!$H$4)+1&gt;Trainingsdaten!$H$3,"",MOD(ROW()-4,Trainingsdaten!$H$4)+1)</f>
        <v/>
      </c>
      <c r="D377" s="9" t="str">
        <f>IF($B377&gt;Trainingsdaten!$H$3,"",INDEX(Trainingsdaten!B:B,$C377+1))</f>
        <v/>
      </c>
      <c r="E377" s="7" t="str">
        <f>IF($B377&gt;Trainingsdaten!$H$3,"",INDEX(Trainingsdaten!C:C,$C377+1))</f>
        <v/>
      </c>
      <c r="F377" s="7" t="str">
        <f>IF($B377&gt;Trainingsdaten!$H$3,"",INDEX(Trainingsdaten!D:D,$C377+1))</f>
        <v/>
      </c>
      <c r="G377" s="7" t="str">
        <f>IF($B377&gt;Trainingsdaten!$H$3,"",INDEX(Trainingsdaten!E:E,$C377+1))</f>
        <v/>
      </c>
      <c r="H377" s="11" t="str">
        <f>IF($B377&gt;Trainingsdaten!$H$3,"",Trainingsdaten!$H$2)</f>
        <v/>
      </c>
      <c r="I377" s="7" t="str">
        <f>IF(B377&gt;Trainingsdaten!$H$3,"",I376+H377*N376*E377)</f>
        <v/>
      </c>
      <c r="J377" s="7" t="str">
        <f>IF(B377&gt;Trainingsdaten!$H$3,"",J376+H377*N376*F377)</f>
        <v/>
      </c>
      <c r="K377" s="7" t="str">
        <f>IF(B377&gt;Trainingsdaten!$H$3,"",K376+H377*N376)</f>
        <v/>
      </c>
      <c r="L377" s="7" t="str">
        <f>IF(B377&gt;Trainingsdaten!$H$3,"",E377*I377+F377*J377+K377)</f>
        <v/>
      </c>
      <c r="M377" s="7" t="str">
        <f>IF(B377&gt;Trainingsdaten!$H$3,"",IF(L377&gt;0,1,0))</f>
        <v/>
      </c>
      <c r="N377" s="7" t="str">
        <f>IF(B377&gt;Trainingsdaten!$H$3,"",G377-M377)</f>
        <v/>
      </c>
    </row>
    <row r="378" spans="1:14" x14ac:dyDescent="0.25">
      <c r="A378" s="9" t="str">
        <f>IF($B378&gt;Trainingsdaten!$H$3,"",MOD(ROW()-4,Trainingsdaten!$H$4)+1)</f>
        <v/>
      </c>
      <c r="B378" s="11" t="str">
        <f>IF(INT((ROW()-4)/Trainingsdaten!$H$4)+1&gt;Trainingsdaten!$H$3,"",INT((ROW()-4)/Trainingsdaten!$H$4)+1)</f>
        <v/>
      </c>
      <c r="C378" s="9" t="str">
        <f>IF(INT((ROW()-4)/Trainingsdaten!$H$4)+1&gt;Trainingsdaten!$H$3,"",MOD(ROW()-4,Trainingsdaten!$H$4)+1)</f>
        <v/>
      </c>
      <c r="D378" s="9" t="str">
        <f>IF($B378&gt;Trainingsdaten!$H$3,"",INDEX(Trainingsdaten!B:B,$C378+1))</f>
        <v/>
      </c>
      <c r="E378" s="7" t="str">
        <f>IF($B378&gt;Trainingsdaten!$H$3,"",INDEX(Trainingsdaten!C:C,$C378+1))</f>
        <v/>
      </c>
      <c r="F378" s="7" t="str">
        <f>IF($B378&gt;Trainingsdaten!$H$3,"",INDEX(Trainingsdaten!D:D,$C378+1))</f>
        <v/>
      </c>
      <c r="G378" s="7" t="str">
        <f>IF($B378&gt;Trainingsdaten!$H$3,"",INDEX(Trainingsdaten!E:E,$C378+1))</f>
        <v/>
      </c>
      <c r="H378" s="11" t="str">
        <f>IF($B378&gt;Trainingsdaten!$H$3,"",Trainingsdaten!$H$2)</f>
        <v/>
      </c>
      <c r="I378" s="7" t="str">
        <f>IF(B378&gt;Trainingsdaten!$H$3,"",I377+H378*N377*E378)</f>
        <v/>
      </c>
      <c r="J378" s="7" t="str">
        <f>IF(B378&gt;Trainingsdaten!$H$3,"",J377+H378*N377*F378)</f>
        <v/>
      </c>
      <c r="K378" s="7" t="str">
        <f>IF(B378&gt;Trainingsdaten!$H$3,"",K377+H378*N377)</f>
        <v/>
      </c>
      <c r="L378" s="7" t="str">
        <f>IF(B378&gt;Trainingsdaten!$H$3,"",E378*I378+F378*J378+K378)</f>
        <v/>
      </c>
      <c r="M378" s="7" t="str">
        <f>IF(B378&gt;Trainingsdaten!$H$3,"",IF(L378&gt;0,1,0))</f>
        <v/>
      </c>
      <c r="N378" s="7" t="str">
        <f>IF(B378&gt;Trainingsdaten!$H$3,"",G378-M378)</f>
        <v/>
      </c>
    </row>
    <row r="379" spans="1:14" x14ac:dyDescent="0.25">
      <c r="A379" s="9" t="str">
        <f>IF($B379&gt;Trainingsdaten!$H$3,"",MOD(ROW()-4,Trainingsdaten!$H$4)+1)</f>
        <v/>
      </c>
      <c r="B379" s="11" t="str">
        <f>IF(INT((ROW()-4)/Trainingsdaten!$H$4)+1&gt;Trainingsdaten!$H$3,"",INT((ROW()-4)/Trainingsdaten!$H$4)+1)</f>
        <v/>
      </c>
      <c r="C379" s="9" t="str">
        <f>IF(INT((ROW()-4)/Trainingsdaten!$H$4)+1&gt;Trainingsdaten!$H$3,"",MOD(ROW()-4,Trainingsdaten!$H$4)+1)</f>
        <v/>
      </c>
      <c r="D379" s="9" t="str">
        <f>IF($B379&gt;Trainingsdaten!$H$3,"",INDEX(Trainingsdaten!B:B,$C379+1))</f>
        <v/>
      </c>
      <c r="E379" s="7" t="str">
        <f>IF($B379&gt;Trainingsdaten!$H$3,"",INDEX(Trainingsdaten!C:C,$C379+1))</f>
        <v/>
      </c>
      <c r="F379" s="7" t="str">
        <f>IF($B379&gt;Trainingsdaten!$H$3,"",INDEX(Trainingsdaten!D:D,$C379+1))</f>
        <v/>
      </c>
      <c r="G379" s="7" t="str">
        <f>IF($B379&gt;Trainingsdaten!$H$3,"",INDEX(Trainingsdaten!E:E,$C379+1))</f>
        <v/>
      </c>
      <c r="H379" s="11" t="str">
        <f>IF($B379&gt;Trainingsdaten!$H$3,"",Trainingsdaten!$H$2)</f>
        <v/>
      </c>
      <c r="I379" s="7" t="str">
        <f>IF(B379&gt;Trainingsdaten!$H$3,"",I378+H379*N378*E379)</f>
        <v/>
      </c>
      <c r="J379" s="7" t="str">
        <f>IF(B379&gt;Trainingsdaten!$H$3,"",J378+H379*N378*F379)</f>
        <v/>
      </c>
      <c r="K379" s="7" t="str">
        <f>IF(B379&gt;Trainingsdaten!$H$3,"",K378+H379*N378)</f>
        <v/>
      </c>
      <c r="L379" s="7" t="str">
        <f>IF(B379&gt;Trainingsdaten!$H$3,"",E379*I379+F379*J379+K379)</f>
        <v/>
      </c>
      <c r="M379" s="7" t="str">
        <f>IF(B379&gt;Trainingsdaten!$H$3,"",IF(L379&gt;0,1,0))</f>
        <v/>
      </c>
      <c r="N379" s="7" t="str">
        <f>IF(B379&gt;Trainingsdaten!$H$3,"",G379-M379)</f>
        <v/>
      </c>
    </row>
    <row r="380" spans="1:14" x14ac:dyDescent="0.25">
      <c r="A380" s="9" t="str">
        <f>IF($B380&gt;Trainingsdaten!$H$3,"",MOD(ROW()-4,Trainingsdaten!$H$4)+1)</f>
        <v/>
      </c>
      <c r="B380" s="11" t="str">
        <f>IF(INT((ROW()-4)/Trainingsdaten!$H$4)+1&gt;Trainingsdaten!$H$3,"",INT((ROW()-4)/Trainingsdaten!$H$4)+1)</f>
        <v/>
      </c>
      <c r="C380" s="9" t="str">
        <f>IF(INT((ROW()-4)/Trainingsdaten!$H$4)+1&gt;Trainingsdaten!$H$3,"",MOD(ROW()-4,Trainingsdaten!$H$4)+1)</f>
        <v/>
      </c>
      <c r="D380" s="9" t="str">
        <f>IF($B380&gt;Trainingsdaten!$H$3,"",INDEX(Trainingsdaten!B:B,$C380+1))</f>
        <v/>
      </c>
      <c r="E380" s="7" t="str">
        <f>IF($B380&gt;Trainingsdaten!$H$3,"",INDEX(Trainingsdaten!C:C,$C380+1))</f>
        <v/>
      </c>
      <c r="F380" s="7" t="str">
        <f>IF($B380&gt;Trainingsdaten!$H$3,"",INDEX(Trainingsdaten!D:D,$C380+1))</f>
        <v/>
      </c>
      <c r="G380" s="7" t="str">
        <f>IF($B380&gt;Trainingsdaten!$H$3,"",INDEX(Trainingsdaten!E:E,$C380+1))</f>
        <v/>
      </c>
      <c r="H380" s="11" t="str">
        <f>IF($B380&gt;Trainingsdaten!$H$3,"",Trainingsdaten!$H$2)</f>
        <v/>
      </c>
      <c r="I380" s="7" t="str">
        <f>IF(B380&gt;Trainingsdaten!$H$3,"",I379+H380*N379*E380)</f>
        <v/>
      </c>
      <c r="J380" s="7" t="str">
        <f>IF(B380&gt;Trainingsdaten!$H$3,"",J379+H380*N379*F380)</f>
        <v/>
      </c>
      <c r="K380" s="7" t="str">
        <f>IF(B380&gt;Trainingsdaten!$H$3,"",K379+H380*N379)</f>
        <v/>
      </c>
      <c r="L380" s="7" t="str">
        <f>IF(B380&gt;Trainingsdaten!$H$3,"",E380*I380+F380*J380+K380)</f>
        <v/>
      </c>
      <c r="M380" s="7" t="str">
        <f>IF(B380&gt;Trainingsdaten!$H$3,"",IF(L380&gt;0,1,0))</f>
        <v/>
      </c>
      <c r="N380" s="7" t="str">
        <f>IF(B380&gt;Trainingsdaten!$H$3,"",G380-M380)</f>
        <v/>
      </c>
    </row>
    <row r="381" spans="1:14" x14ac:dyDescent="0.25">
      <c r="A381" s="9" t="str">
        <f>IF($B381&gt;Trainingsdaten!$H$3,"",MOD(ROW()-4,Trainingsdaten!$H$4)+1)</f>
        <v/>
      </c>
      <c r="B381" s="11" t="str">
        <f>IF(INT((ROW()-4)/Trainingsdaten!$H$4)+1&gt;Trainingsdaten!$H$3,"",INT((ROW()-4)/Trainingsdaten!$H$4)+1)</f>
        <v/>
      </c>
      <c r="C381" s="9" t="str">
        <f>IF(INT((ROW()-4)/Trainingsdaten!$H$4)+1&gt;Trainingsdaten!$H$3,"",MOD(ROW()-4,Trainingsdaten!$H$4)+1)</f>
        <v/>
      </c>
      <c r="D381" s="9" t="str">
        <f>IF($B381&gt;Trainingsdaten!$H$3,"",INDEX(Trainingsdaten!B:B,$C381+1))</f>
        <v/>
      </c>
      <c r="E381" s="7" t="str">
        <f>IF($B381&gt;Trainingsdaten!$H$3,"",INDEX(Trainingsdaten!C:C,$C381+1))</f>
        <v/>
      </c>
      <c r="F381" s="7" t="str">
        <f>IF($B381&gt;Trainingsdaten!$H$3,"",INDEX(Trainingsdaten!D:D,$C381+1))</f>
        <v/>
      </c>
      <c r="G381" s="7" t="str">
        <f>IF($B381&gt;Trainingsdaten!$H$3,"",INDEX(Trainingsdaten!E:E,$C381+1))</f>
        <v/>
      </c>
      <c r="H381" s="11" t="str">
        <f>IF($B381&gt;Trainingsdaten!$H$3,"",Trainingsdaten!$H$2)</f>
        <v/>
      </c>
      <c r="I381" s="7" t="str">
        <f>IF(B381&gt;Trainingsdaten!$H$3,"",I380+H381*N380*E381)</f>
        <v/>
      </c>
      <c r="J381" s="7" t="str">
        <f>IF(B381&gt;Trainingsdaten!$H$3,"",J380+H381*N380*F381)</f>
        <v/>
      </c>
      <c r="K381" s="7" t="str">
        <f>IF(B381&gt;Trainingsdaten!$H$3,"",K380+H381*N380)</f>
        <v/>
      </c>
      <c r="L381" s="7" t="str">
        <f>IF(B381&gt;Trainingsdaten!$H$3,"",E381*I381+F381*J381+K381)</f>
        <v/>
      </c>
      <c r="M381" s="7" t="str">
        <f>IF(B381&gt;Trainingsdaten!$H$3,"",IF(L381&gt;0,1,0))</f>
        <v/>
      </c>
      <c r="N381" s="7" t="str">
        <f>IF(B381&gt;Trainingsdaten!$H$3,"",G381-M381)</f>
        <v/>
      </c>
    </row>
    <row r="382" spans="1:14" x14ac:dyDescent="0.25">
      <c r="A382" s="9" t="str">
        <f>IF($B382&gt;Trainingsdaten!$H$3,"",MOD(ROW()-4,Trainingsdaten!$H$4)+1)</f>
        <v/>
      </c>
      <c r="B382" s="11" t="str">
        <f>IF(INT((ROW()-4)/Trainingsdaten!$H$4)+1&gt;Trainingsdaten!$H$3,"",INT((ROW()-4)/Trainingsdaten!$H$4)+1)</f>
        <v/>
      </c>
      <c r="C382" s="9" t="str">
        <f>IF(INT((ROW()-4)/Trainingsdaten!$H$4)+1&gt;Trainingsdaten!$H$3,"",MOD(ROW()-4,Trainingsdaten!$H$4)+1)</f>
        <v/>
      </c>
      <c r="D382" s="9" t="str">
        <f>IF($B382&gt;Trainingsdaten!$H$3,"",INDEX(Trainingsdaten!B:B,$C382+1))</f>
        <v/>
      </c>
      <c r="E382" s="7" t="str">
        <f>IF($B382&gt;Trainingsdaten!$H$3,"",INDEX(Trainingsdaten!C:C,$C382+1))</f>
        <v/>
      </c>
      <c r="F382" s="7" t="str">
        <f>IF($B382&gt;Trainingsdaten!$H$3,"",INDEX(Trainingsdaten!D:D,$C382+1))</f>
        <v/>
      </c>
      <c r="G382" s="7" t="str">
        <f>IF($B382&gt;Trainingsdaten!$H$3,"",INDEX(Trainingsdaten!E:E,$C382+1))</f>
        <v/>
      </c>
      <c r="H382" s="11" t="str">
        <f>IF($B382&gt;Trainingsdaten!$H$3,"",Trainingsdaten!$H$2)</f>
        <v/>
      </c>
      <c r="I382" s="7" t="str">
        <f>IF(B382&gt;Trainingsdaten!$H$3,"",I381+H382*N381*E382)</f>
        <v/>
      </c>
      <c r="J382" s="7" t="str">
        <f>IF(B382&gt;Trainingsdaten!$H$3,"",J381+H382*N381*F382)</f>
        <v/>
      </c>
      <c r="K382" s="7" t="str">
        <f>IF(B382&gt;Trainingsdaten!$H$3,"",K381+H382*N381)</f>
        <v/>
      </c>
      <c r="L382" s="7" t="str">
        <f>IF(B382&gt;Trainingsdaten!$H$3,"",E382*I382+F382*J382+K382)</f>
        <v/>
      </c>
      <c r="M382" s="7" t="str">
        <f>IF(B382&gt;Trainingsdaten!$H$3,"",IF(L382&gt;0,1,0))</f>
        <v/>
      </c>
      <c r="N382" s="7" t="str">
        <f>IF(B382&gt;Trainingsdaten!$H$3,"",G382-M382)</f>
        <v/>
      </c>
    </row>
    <row r="383" spans="1:14" x14ac:dyDescent="0.25">
      <c r="A383" s="9" t="str">
        <f>IF($B383&gt;Trainingsdaten!$H$3,"",MOD(ROW()-4,Trainingsdaten!$H$4)+1)</f>
        <v/>
      </c>
      <c r="B383" s="11" t="str">
        <f>IF(INT((ROW()-4)/Trainingsdaten!$H$4)+1&gt;Trainingsdaten!$H$3,"",INT((ROW()-4)/Trainingsdaten!$H$4)+1)</f>
        <v/>
      </c>
      <c r="C383" s="9" t="str">
        <f>IF(INT((ROW()-4)/Trainingsdaten!$H$4)+1&gt;Trainingsdaten!$H$3,"",MOD(ROW()-4,Trainingsdaten!$H$4)+1)</f>
        <v/>
      </c>
      <c r="D383" s="9" t="str">
        <f>IF($B383&gt;Trainingsdaten!$H$3,"",INDEX(Trainingsdaten!B:B,$C383+1))</f>
        <v/>
      </c>
      <c r="E383" s="7" t="str">
        <f>IF($B383&gt;Trainingsdaten!$H$3,"",INDEX(Trainingsdaten!C:C,$C383+1))</f>
        <v/>
      </c>
      <c r="F383" s="7" t="str">
        <f>IF($B383&gt;Trainingsdaten!$H$3,"",INDEX(Trainingsdaten!D:D,$C383+1))</f>
        <v/>
      </c>
      <c r="G383" s="7" t="str">
        <f>IF($B383&gt;Trainingsdaten!$H$3,"",INDEX(Trainingsdaten!E:E,$C383+1))</f>
        <v/>
      </c>
      <c r="H383" s="11" t="str">
        <f>IF($B383&gt;Trainingsdaten!$H$3,"",Trainingsdaten!$H$2)</f>
        <v/>
      </c>
      <c r="I383" s="7" t="str">
        <f>IF(B383&gt;Trainingsdaten!$H$3,"",I382+H383*N382*E383)</f>
        <v/>
      </c>
      <c r="J383" s="7" t="str">
        <f>IF(B383&gt;Trainingsdaten!$H$3,"",J382+H383*N382*F383)</f>
        <v/>
      </c>
      <c r="K383" s="7" t="str">
        <f>IF(B383&gt;Trainingsdaten!$H$3,"",K382+H383*N382)</f>
        <v/>
      </c>
      <c r="L383" s="7" t="str">
        <f>IF(B383&gt;Trainingsdaten!$H$3,"",E383*I383+F383*J383+K383)</f>
        <v/>
      </c>
      <c r="M383" s="7" t="str">
        <f>IF(B383&gt;Trainingsdaten!$H$3,"",IF(L383&gt;0,1,0))</f>
        <v/>
      </c>
      <c r="N383" s="7" t="str">
        <f>IF(B383&gt;Trainingsdaten!$H$3,"",G383-M383)</f>
        <v/>
      </c>
    </row>
    <row r="384" spans="1:14" x14ac:dyDescent="0.25">
      <c r="A384" s="9" t="str">
        <f>IF($B384&gt;Trainingsdaten!$H$3,"",MOD(ROW()-4,Trainingsdaten!$H$4)+1)</f>
        <v/>
      </c>
      <c r="B384" s="11" t="str">
        <f>IF(INT((ROW()-4)/Trainingsdaten!$H$4)+1&gt;Trainingsdaten!$H$3,"",INT((ROW()-4)/Trainingsdaten!$H$4)+1)</f>
        <v/>
      </c>
      <c r="C384" s="9" t="str">
        <f>IF(INT((ROW()-4)/Trainingsdaten!$H$4)+1&gt;Trainingsdaten!$H$3,"",MOD(ROW()-4,Trainingsdaten!$H$4)+1)</f>
        <v/>
      </c>
      <c r="D384" s="9" t="str">
        <f>IF($B384&gt;Trainingsdaten!$H$3,"",INDEX(Trainingsdaten!B:B,$C384+1))</f>
        <v/>
      </c>
      <c r="E384" s="7" t="str">
        <f>IF($B384&gt;Trainingsdaten!$H$3,"",INDEX(Trainingsdaten!C:C,$C384+1))</f>
        <v/>
      </c>
      <c r="F384" s="7" t="str">
        <f>IF($B384&gt;Trainingsdaten!$H$3,"",INDEX(Trainingsdaten!D:D,$C384+1))</f>
        <v/>
      </c>
      <c r="G384" s="7" t="str">
        <f>IF($B384&gt;Trainingsdaten!$H$3,"",INDEX(Trainingsdaten!E:E,$C384+1))</f>
        <v/>
      </c>
      <c r="H384" s="11" t="str">
        <f>IF($B384&gt;Trainingsdaten!$H$3,"",Trainingsdaten!$H$2)</f>
        <v/>
      </c>
      <c r="I384" s="7" t="str">
        <f>IF(B384&gt;Trainingsdaten!$H$3,"",I383+H384*N383*E384)</f>
        <v/>
      </c>
      <c r="J384" s="7" t="str">
        <f>IF(B384&gt;Trainingsdaten!$H$3,"",J383+H384*N383*F384)</f>
        <v/>
      </c>
      <c r="K384" s="7" t="str">
        <f>IF(B384&gt;Trainingsdaten!$H$3,"",K383+H384*N383)</f>
        <v/>
      </c>
      <c r="L384" s="7" t="str">
        <f>IF(B384&gt;Trainingsdaten!$H$3,"",E384*I384+F384*J384+K384)</f>
        <v/>
      </c>
      <c r="M384" s="7" t="str">
        <f>IF(B384&gt;Trainingsdaten!$H$3,"",IF(L384&gt;0,1,0))</f>
        <v/>
      </c>
      <c r="N384" s="7" t="str">
        <f>IF(B384&gt;Trainingsdaten!$H$3,"",G384-M384)</f>
        <v/>
      </c>
    </row>
    <row r="385" spans="1:14" x14ac:dyDescent="0.25">
      <c r="A385" s="9" t="str">
        <f>IF($B385&gt;Trainingsdaten!$H$3,"",MOD(ROW()-4,Trainingsdaten!$H$4)+1)</f>
        <v/>
      </c>
      <c r="B385" s="11" t="str">
        <f>IF(INT((ROW()-4)/Trainingsdaten!$H$4)+1&gt;Trainingsdaten!$H$3,"",INT((ROW()-4)/Trainingsdaten!$H$4)+1)</f>
        <v/>
      </c>
      <c r="C385" s="9" t="str">
        <f>IF(INT((ROW()-4)/Trainingsdaten!$H$4)+1&gt;Trainingsdaten!$H$3,"",MOD(ROW()-4,Trainingsdaten!$H$4)+1)</f>
        <v/>
      </c>
      <c r="D385" s="9" t="str">
        <f>IF($B385&gt;Trainingsdaten!$H$3,"",INDEX(Trainingsdaten!B:B,$C385+1))</f>
        <v/>
      </c>
      <c r="E385" s="7" t="str">
        <f>IF($B385&gt;Trainingsdaten!$H$3,"",INDEX(Trainingsdaten!C:C,$C385+1))</f>
        <v/>
      </c>
      <c r="F385" s="7" t="str">
        <f>IF($B385&gt;Trainingsdaten!$H$3,"",INDEX(Trainingsdaten!D:D,$C385+1))</f>
        <v/>
      </c>
      <c r="G385" s="7" t="str">
        <f>IF($B385&gt;Trainingsdaten!$H$3,"",INDEX(Trainingsdaten!E:E,$C385+1))</f>
        <v/>
      </c>
      <c r="H385" s="11" t="str">
        <f>IF($B385&gt;Trainingsdaten!$H$3,"",Trainingsdaten!$H$2)</f>
        <v/>
      </c>
      <c r="I385" s="7" t="str">
        <f>IF(B385&gt;Trainingsdaten!$H$3,"",I384+H385*N384*E385)</f>
        <v/>
      </c>
      <c r="J385" s="7" t="str">
        <f>IF(B385&gt;Trainingsdaten!$H$3,"",J384+H385*N384*F385)</f>
        <v/>
      </c>
      <c r="K385" s="7" t="str">
        <f>IF(B385&gt;Trainingsdaten!$H$3,"",K384+H385*N384)</f>
        <v/>
      </c>
      <c r="L385" s="7" t="str">
        <f>IF(B385&gt;Trainingsdaten!$H$3,"",E385*I385+F385*J385+K385)</f>
        <v/>
      </c>
      <c r="M385" s="7" t="str">
        <f>IF(B385&gt;Trainingsdaten!$H$3,"",IF(L385&gt;0,1,0))</f>
        <v/>
      </c>
      <c r="N385" s="7" t="str">
        <f>IF(B385&gt;Trainingsdaten!$H$3,"",G385-M385)</f>
        <v/>
      </c>
    </row>
    <row r="386" spans="1:14" x14ac:dyDescent="0.25">
      <c r="A386" s="9" t="str">
        <f>IF($B386&gt;Trainingsdaten!$H$3,"",MOD(ROW()-4,Trainingsdaten!$H$4)+1)</f>
        <v/>
      </c>
      <c r="B386" s="11" t="str">
        <f>IF(INT((ROW()-4)/Trainingsdaten!$H$4)+1&gt;Trainingsdaten!$H$3,"",INT((ROW()-4)/Trainingsdaten!$H$4)+1)</f>
        <v/>
      </c>
      <c r="C386" s="9" t="str">
        <f>IF(INT((ROW()-4)/Trainingsdaten!$H$4)+1&gt;Trainingsdaten!$H$3,"",MOD(ROW()-4,Trainingsdaten!$H$4)+1)</f>
        <v/>
      </c>
      <c r="D386" s="9" t="str">
        <f>IF($B386&gt;Trainingsdaten!$H$3,"",INDEX(Trainingsdaten!B:B,$C386+1))</f>
        <v/>
      </c>
      <c r="E386" s="7" t="str">
        <f>IF($B386&gt;Trainingsdaten!$H$3,"",INDEX(Trainingsdaten!C:C,$C386+1))</f>
        <v/>
      </c>
      <c r="F386" s="7" t="str">
        <f>IF($B386&gt;Trainingsdaten!$H$3,"",INDEX(Trainingsdaten!D:D,$C386+1))</f>
        <v/>
      </c>
      <c r="G386" s="7" t="str">
        <f>IF($B386&gt;Trainingsdaten!$H$3,"",INDEX(Trainingsdaten!E:E,$C386+1))</f>
        <v/>
      </c>
      <c r="H386" s="11" t="str">
        <f>IF($B386&gt;Trainingsdaten!$H$3,"",Trainingsdaten!$H$2)</f>
        <v/>
      </c>
      <c r="I386" s="7" t="str">
        <f>IF(B386&gt;Trainingsdaten!$H$3,"",I385+H386*N385*E386)</f>
        <v/>
      </c>
      <c r="J386" s="7" t="str">
        <f>IF(B386&gt;Trainingsdaten!$H$3,"",J385+H386*N385*F386)</f>
        <v/>
      </c>
      <c r="K386" s="7" t="str">
        <f>IF(B386&gt;Trainingsdaten!$H$3,"",K385+H386*N385)</f>
        <v/>
      </c>
      <c r="L386" s="7" t="str">
        <f>IF(B386&gt;Trainingsdaten!$H$3,"",E386*I386+F386*J386+K386)</f>
        <v/>
      </c>
      <c r="M386" s="7" t="str">
        <f>IF(B386&gt;Trainingsdaten!$H$3,"",IF(L386&gt;0,1,0))</f>
        <v/>
      </c>
      <c r="N386" s="7" t="str">
        <f>IF(B386&gt;Trainingsdaten!$H$3,"",G386-M386)</f>
        <v/>
      </c>
    </row>
    <row r="387" spans="1:14" x14ac:dyDescent="0.25">
      <c r="A387" s="9" t="str">
        <f>IF($B387&gt;Trainingsdaten!$H$3,"",MOD(ROW()-4,Trainingsdaten!$H$4)+1)</f>
        <v/>
      </c>
      <c r="B387" s="11" t="str">
        <f>IF(INT((ROW()-4)/Trainingsdaten!$H$4)+1&gt;Trainingsdaten!$H$3,"",INT((ROW()-4)/Trainingsdaten!$H$4)+1)</f>
        <v/>
      </c>
      <c r="C387" s="9" t="str">
        <f>IF(INT((ROW()-4)/Trainingsdaten!$H$4)+1&gt;Trainingsdaten!$H$3,"",MOD(ROW()-4,Trainingsdaten!$H$4)+1)</f>
        <v/>
      </c>
      <c r="D387" s="9" t="str">
        <f>IF($B387&gt;Trainingsdaten!$H$3,"",INDEX(Trainingsdaten!B:B,$C387+1))</f>
        <v/>
      </c>
      <c r="E387" s="7" t="str">
        <f>IF($B387&gt;Trainingsdaten!$H$3,"",INDEX(Trainingsdaten!C:C,$C387+1))</f>
        <v/>
      </c>
      <c r="F387" s="7" t="str">
        <f>IF($B387&gt;Trainingsdaten!$H$3,"",INDEX(Trainingsdaten!D:D,$C387+1))</f>
        <v/>
      </c>
      <c r="G387" s="7" t="str">
        <f>IF($B387&gt;Trainingsdaten!$H$3,"",INDEX(Trainingsdaten!E:E,$C387+1))</f>
        <v/>
      </c>
      <c r="H387" s="11" t="str">
        <f>IF($B387&gt;Trainingsdaten!$H$3,"",Trainingsdaten!$H$2)</f>
        <v/>
      </c>
      <c r="I387" s="7" t="str">
        <f>IF(B387&gt;Trainingsdaten!$H$3,"",I386+H387*N386*E387)</f>
        <v/>
      </c>
      <c r="J387" s="7" t="str">
        <f>IF(B387&gt;Trainingsdaten!$H$3,"",J386+H387*N386*F387)</f>
        <v/>
      </c>
      <c r="K387" s="7" t="str">
        <f>IF(B387&gt;Trainingsdaten!$H$3,"",K386+H387*N386)</f>
        <v/>
      </c>
      <c r="L387" s="7" t="str">
        <f>IF(B387&gt;Trainingsdaten!$H$3,"",E387*I387+F387*J387+K387)</f>
        <v/>
      </c>
      <c r="M387" s="7" t="str">
        <f>IF(B387&gt;Trainingsdaten!$H$3,"",IF(L387&gt;0,1,0))</f>
        <v/>
      </c>
      <c r="N387" s="7" t="str">
        <f>IF(B387&gt;Trainingsdaten!$H$3,"",G387-M387)</f>
        <v/>
      </c>
    </row>
    <row r="388" spans="1:14" x14ac:dyDescent="0.25">
      <c r="A388" s="9" t="str">
        <f>IF($B388&gt;Trainingsdaten!$H$3,"",MOD(ROW()-4,Trainingsdaten!$H$4)+1)</f>
        <v/>
      </c>
      <c r="B388" s="11" t="str">
        <f>IF(INT((ROW()-4)/Trainingsdaten!$H$4)+1&gt;Trainingsdaten!$H$3,"",INT((ROW()-4)/Trainingsdaten!$H$4)+1)</f>
        <v/>
      </c>
      <c r="C388" s="9" t="str">
        <f>IF(INT((ROW()-4)/Trainingsdaten!$H$4)+1&gt;Trainingsdaten!$H$3,"",MOD(ROW()-4,Trainingsdaten!$H$4)+1)</f>
        <v/>
      </c>
      <c r="D388" s="9" t="str">
        <f>IF($B388&gt;Trainingsdaten!$H$3,"",INDEX(Trainingsdaten!B:B,$C388+1))</f>
        <v/>
      </c>
      <c r="E388" s="7" t="str">
        <f>IF($B388&gt;Trainingsdaten!$H$3,"",INDEX(Trainingsdaten!C:C,$C388+1))</f>
        <v/>
      </c>
      <c r="F388" s="7" t="str">
        <f>IF($B388&gt;Trainingsdaten!$H$3,"",INDEX(Trainingsdaten!D:D,$C388+1))</f>
        <v/>
      </c>
      <c r="G388" s="7" t="str">
        <f>IF($B388&gt;Trainingsdaten!$H$3,"",INDEX(Trainingsdaten!E:E,$C388+1))</f>
        <v/>
      </c>
      <c r="H388" s="11" t="str">
        <f>IF($B388&gt;Trainingsdaten!$H$3,"",Trainingsdaten!$H$2)</f>
        <v/>
      </c>
      <c r="I388" s="7" t="str">
        <f>IF(B388&gt;Trainingsdaten!$H$3,"",I387+H388*N387*E388)</f>
        <v/>
      </c>
      <c r="J388" s="7" t="str">
        <f>IF(B388&gt;Trainingsdaten!$H$3,"",J387+H388*N387*F388)</f>
        <v/>
      </c>
      <c r="K388" s="7" t="str">
        <f>IF(B388&gt;Trainingsdaten!$H$3,"",K387+H388*N387)</f>
        <v/>
      </c>
      <c r="L388" s="7" t="str">
        <f>IF(B388&gt;Trainingsdaten!$H$3,"",E388*I388+F388*J388+K388)</f>
        <v/>
      </c>
      <c r="M388" s="7" t="str">
        <f>IF(B388&gt;Trainingsdaten!$H$3,"",IF(L388&gt;0,1,0))</f>
        <v/>
      </c>
      <c r="N388" s="7" t="str">
        <f>IF(B388&gt;Trainingsdaten!$H$3,"",G388-M388)</f>
        <v/>
      </c>
    </row>
    <row r="389" spans="1:14" x14ac:dyDescent="0.25">
      <c r="A389" s="9" t="str">
        <f>IF($B389&gt;Trainingsdaten!$H$3,"",MOD(ROW()-4,Trainingsdaten!$H$4)+1)</f>
        <v/>
      </c>
      <c r="B389" s="11" t="str">
        <f>IF(INT((ROW()-4)/Trainingsdaten!$H$4)+1&gt;Trainingsdaten!$H$3,"",INT((ROW()-4)/Trainingsdaten!$H$4)+1)</f>
        <v/>
      </c>
      <c r="C389" s="9" t="str">
        <f>IF(INT((ROW()-4)/Trainingsdaten!$H$4)+1&gt;Trainingsdaten!$H$3,"",MOD(ROW()-4,Trainingsdaten!$H$4)+1)</f>
        <v/>
      </c>
      <c r="D389" s="9" t="str">
        <f>IF($B389&gt;Trainingsdaten!$H$3,"",INDEX(Trainingsdaten!B:B,$C389+1))</f>
        <v/>
      </c>
      <c r="E389" s="7" t="str">
        <f>IF($B389&gt;Trainingsdaten!$H$3,"",INDEX(Trainingsdaten!C:C,$C389+1))</f>
        <v/>
      </c>
      <c r="F389" s="7" t="str">
        <f>IF($B389&gt;Trainingsdaten!$H$3,"",INDEX(Trainingsdaten!D:D,$C389+1))</f>
        <v/>
      </c>
      <c r="G389" s="7" t="str">
        <f>IF($B389&gt;Trainingsdaten!$H$3,"",INDEX(Trainingsdaten!E:E,$C389+1))</f>
        <v/>
      </c>
      <c r="H389" s="11" t="str">
        <f>IF($B389&gt;Trainingsdaten!$H$3,"",Trainingsdaten!$H$2)</f>
        <v/>
      </c>
      <c r="I389" s="7" t="str">
        <f>IF(B389&gt;Trainingsdaten!$H$3,"",I388+H389*N388*E389)</f>
        <v/>
      </c>
      <c r="J389" s="7" t="str">
        <f>IF(B389&gt;Trainingsdaten!$H$3,"",J388+H389*N388*F389)</f>
        <v/>
      </c>
      <c r="K389" s="7" t="str">
        <f>IF(B389&gt;Trainingsdaten!$H$3,"",K388+H389*N388)</f>
        <v/>
      </c>
      <c r="L389" s="7" t="str">
        <f>IF(B389&gt;Trainingsdaten!$H$3,"",E389*I389+F389*J389+K389)</f>
        <v/>
      </c>
      <c r="M389" s="7" t="str">
        <f>IF(B389&gt;Trainingsdaten!$H$3,"",IF(L389&gt;0,1,0))</f>
        <v/>
      </c>
      <c r="N389" s="7" t="str">
        <f>IF(B389&gt;Trainingsdaten!$H$3,"",G389-M389)</f>
        <v/>
      </c>
    </row>
    <row r="390" spans="1:14" x14ac:dyDescent="0.25">
      <c r="A390" s="9" t="str">
        <f>IF($B390&gt;Trainingsdaten!$H$3,"",MOD(ROW()-4,Trainingsdaten!$H$4)+1)</f>
        <v/>
      </c>
      <c r="B390" s="11" t="str">
        <f>IF(INT((ROW()-4)/Trainingsdaten!$H$4)+1&gt;Trainingsdaten!$H$3,"",INT((ROW()-4)/Trainingsdaten!$H$4)+1)</f>
        <v/>
      </c>
      <c r="C390" s="9" t="str">
        <f>IF(INT((ROW()-4)/Trainingsdaten!$H$4)+1&gt;Trainingsdaten!$H$3,"",MOD(ROW()-4,Trainingsdaten!$H$4)+1)</f>
        <v/>
      </c>
      <c r="D390" s="9" t="str">
        <f>IF($B390&gt;Trainingsdaten!$H$3,"",INDEX(Trainingsdaten!B:B,$C390+1))</f>
        <v/>
      </c>
      <c r="E390" s="7" t="str">
        <f>IF($B390&gt;Trainingsdaten!$H$3,"",INDEX(Trainingsdaten!C:C,$C390+1))</f>
        <v/>
      </c>
      <c r="F390" s="7" t="str">
        <f>IF($B390&gt;Trainingsdaten!$H$3,"",INDEX(Trainingsdaten!D:D,$C390+1))</f>
        <v/>
      </c>
      <c r="G390" s="7" t="str">
        <f>IF($B390&gt;Trainingsdaten!$H$3,"",INDEX(Trainingsdaten!E:E,$C390+1))</f>
        <v/>
      </c>
      <c r="H390" s="11" t="str">
        <f>IF($B390&gt;Trainingsdaten!$H$3,"",Trainingsdaten!$H$2)</f>
        <v/>
      </c>
      <c r="I390" s="7" t="str">
        <f>IF(B390&gt;Trainingsdaten!$H$3,"",I389+H390*N389*E390)</f>
        <v/>
      </c>
      <c r="J390" s="7" t="str">
        <f>IF(B390&gt;Trainingsdaten!$H$3,"",J389+H390*N389*F390)</f>
        <v/>
      </c>
      <c r="K390" s="7" t="str">
        <f>IF(B390&gt;Trainingsdaten!$H$3,"",K389+H390*N389)</f>
        <v/>
      </c>
      <c r="L390" s="7" t="str">
        <f>IF(B390&gt;Trainingsdaten!$H$3,"",E390*I390+F390*J390+K390)</f>
        <v/>
      </c>
      <c r="M390" s="7" t="str">
        <f>IF(B390&gt;Trainingsdaten!$H$3,"",IF(L390&gt;0,1,0))</f>
        <v/>
      </c>
      <c r="N390" s="7" t="str">
        <f>IF(B390&gt;Trainingsdaten!$H$3,"",G390-M390)</f>
        <v/>
      </c>
    </row>
    <row r="391" spans="1:14" x14ac:dyDescent="0.25">
      <c r="A391" s="9" t="str">
        <f>IF($B391&gt;Trainingsdaten!$H$3,"",MOD(ROW()-4,Trainingsdaten!$H$4)+1)</f>
        <v/>
      </c>
      <c r="B391" s="11" t="str">
        <f>IF(INT((ROW()-4)/Trainingsdaten!$H$4)+1&gt;Trainingsdaten!$H$3,"",INT((ROW()-4)/Trainingsdaten!$H$4)+1)</f>
        <v/>
      </c>
      <c r="C391" s="9" t="str">
        <f>IF(INT((ROW()-4)/Trainingsdaten!$H$4)+1&gt;Trainingsdaten!$H$3,"",MOD(ROW()-4,Trainingsdaten!$H$4)+1)</f>
        <v/>
      </c>
      <c r="D391" s="9" t="str">
        <f>IF($B391&gt;Trainingsdaten!$H$3,"",INDEX(Trainingsdaten!B:B,$C391+1))</f>
        <v/>
      </c>
      <c r="E391" s="7" t="str">
        <f>IF($B391&gt;Trainingsdaten!$H$3,"",INDEX(Trainingsdaten!C:C,$C391+1))</f>
        <v/>
      </c>
      <c r="F391" s="7" t="str">
        <f>IF($B391&gt;Trainingsdaten!$H$3,"",INDEX(Trainingsdaten!D:D,$C391+1))</f>
        <v/>
      </c>
      <c r="G391" s="7" t="str">
        <f>IF($B391&gt;Trainingsdaten!$H$3,"",INDEX(Trainingsdaten!E:E,$C391+1))</f>
        <v/>
      </c>
      <c r="H391" s="11" t="str">
        <f>IF($B391&gt;Trainingsdaten!$H$3,"",Trainingsdaten!$H$2)</f>
        <v/>
      </c>
      <c r="I391" s="7" t="str">
        <f>IF(B391&gt;Trainingsdaten!$H$3,"",I390+H391*N390*E391)</f>
        <v/>
      </c>
      <c r="J391" s="7" t="str">
        <f>IF(B391&gt;Trainingsdaten!$H$3,"",J390+H391*N390*F391)</f>
        <v/>
      </c>
      <c r="K391" s="7" t="str">
        <f>IF(B391&gt;Trainingsdaten!$H$3,"",K390+H391*N390)</f>
        <v/>
      </c>
      <c r="L391" s="7" t="str">
        <f>IF(B391&gt;Trainingsdaten!$H$3,"",E391*I391+F391*J391+K391)</f>
        <v/>
      </c>
      <c r="M391" s="7" t="str">
        <f>IF(B391&gt;Trainingsdaten!$H$3,"",IF(L391&gt;0,1,0))</f>
        <v/>
      </c>
      <c r="N391" s="7" t="str">
        <f>IF(B391&gt;Trainingsdaten!$H$3,"",G391-M391)</f>
        <v/>
      </c>
    </row>
    <row r="392" spans="1:14" x14ac:dyDescent="0.25">
      <c r="A392" s="9" t="str">
        <f>IF($B392&gt;Trainingsdaten!$H$3,"",MOD(ROW()-4,Trainingsdaten!$H$4)+1)</f>
        <v/>
      </c>
      <c r="B392" s="11" t="str">
        <f>IF(INT((ROW()-4)/Trainingsdaten!$H$4)+1&gt;Trainingsdaten!$H$3,"",INT((ROW()-4)/Trainingsdaten!$H$4)+1)</f>
        <v/>
      </c>
      <c r="C392" s="9" t="str">
        <f>IF(INT((ROW()-4)/Trainingsdaten!$H$4)+1&gt;Trainingsdaten!$H$3,"",MOD(ROW()-4,Trainingsdaten!$H$4)+1)</f>
        <v/>
      </c>
      <c r="D392" s="9" t="str">
        <f>IF($B392&gt;Trainingsdaten!$H$3,"",INDEX(Trainingsdaten!B:B,$C392+1))</f>
        <v/>
      </c>
      <c r="E392" s="7" t="str">
        <f>IF($B392&gt;Trainingsdaten!$H$3,"",INDEX(Trainingsdaten!C:C,$C392+1))</f>
        <v/>
      </c>
      <c r="F392" s="7" t="str">
        <f>IF($B392&gt;Trainingsdaten!$H$3,"",INDEX(Trainingsdaten!D:D,$C392+1))</f>
        <v/>
      </c>
      <c r="G392" s="7" t="str">
        <f>IF($B392&gt;Trainingsdaten!$H$3,"",INDEX(Trainingsdaten!E:E,$C392+1))</f>
        <v/>
      </c>
      <c r="H392" s="11" t="str">
        <f>IF($B392&gt;Trainingsdaten!$H$3,"",Trainingsdaten!$H$2)</f>
        <v/>
      </c>
      <c r="I392" s="7" t="str">
        <f>IF(B392&gt;Trainingsdaten!$H$3,"",I391+H392*N391*E392)</f>
        <v/>
      </c>
      <c r="J392" s="7" t="str">
        <f>IF(B392&gt;Trainingsdaten!$H$3,"",J391+H392*N391*F392)</f>
        <v/>
      </c>
      <c r="K392" s="7" t="str">
        <f>IF(B392&gt;Trainingsdaten!$H$3,"",K391+H392*N391)</f>
        <v/>
      </c>
      <c r="L392" s="7" t="str">
        <f>IF(B392&gt;Trainingsdaten!$H$3,"",E392*I392+F392*J392+K392)</f>
        <v/>
      </c>
      <c r="M392" s="7" t="str">
        <f>IF(B392&gt;Trainingsdaten!$H$3,"",IF(L392&gt;0,1,0))</f>
        <v/>
      </c>
      <c r="N392" s="7" t="str">
        <f>IF(B392&gt;Trainingsdaten!$H$3,"",G392-M392)</f>
        <v/>
      </c>
    </row>
    <row r="393" spans="1:14" x14ac:dyDescent="0.25">
      <c r="A393" s="9" t="str">
        <f>IF($B393&gt;Trainingsdaten!$H$3,"",MOD(ROW()-4,Trainingsdaten!$H$4)+1)</f>
        <v/>
      </c>
      <c r="B393" s="11" t="str">
        <f>IF(INT((ROW()-4)/Trainingsdaten!$H$4)+1&gt;Trainingsdaten!$H$3,"",INT((ROW()-4)/Trainingsdaten!$H$4)+1)</f>
        <v/>
      </c>
      <c r="C393" s="9" t="str">
        <f>IF(INT((ROW()-4)/Trainingsdaten!$H$4)+1&gt;Trainingsdaten!$H$3,"",MOD(ROW()-4,Trainingsdaten!$H$4)+1)</f>
        <v/>
      </c>
      <c r="D393" s="9" t="str">
        <f>IF($B393&gt;Trainingsdaten!$H$3,"",INDEX(Trainingsdaten!B:B,$C393+1))</f>
        <v/>
      </c>
      <c r="E393" s="7" t="str">
        <f>IF($B393&gt;Trainingsdaten!$H$3,"",INDEX(Trainingsdaten!C:C,$C393+1))</f>
        <v/>
      </c>
      <c r="F393" s="7" t="str">
        <f>IF($B393&gt;Trainingsdaten!$H$3,"",INDEX(Trainingsdaten!D:D,$C393+1))</f>
        <v/>
      </c>
      <c r="G393" s="7" t="str">
        <f>IF($B393&gt;Trainingsdaten!$H$3,"",INDEX(Trainingsdaten!E:E,$C393+1))</f>
        <v/>
      </c>
      <c r="H393" s="11" t="str">
        <f>IF($B393&gt;Trainingsdaten!$H$3,"",Trainingsdaten!$H$2)</f>
        <v/>
      </c>
      <c r="I393" s="7" t="str">
        <f>IF(B393&gt;Trainingsdaten!$H$3,"",I392+H393*N392*E393)</f>
        <v/>
      </c>
      <c r="J393" s="7" t="str">
        <f>IF(B393&gt;Trainingsdaten!$H$3,"",J392+H393*N392*F393)</f>
        <v/>
      </c>
      <c r="K393" s="7" t="str">
        <f>IF(B393&gt;Trainingsdaten!$H$3,"",K392+H393*N392)</f>
        <v/>
      </c>
      <c r="L393" s="7" t="str">
        <f>IF(B393&gt;Trainingsdaten!$H$3,"",E393*I393+F393*J393+K393)</f>
        <v/>
      </c>
      <c r="M393" s="7" t="str">
        <f>IF(B393&gt;Trainingsdaten!$H$3,"",IF(L393&gt;0,1,0))</f>
        <v/>
      </c>
      <c r="N393" s="7" t="str">
        <f>IF(B393&gt;Trainingsdaten!$H$3,"",G393-M393)</f>
        <v/>
      </c>
    </row>
    <row r="394" spans="1:14" x14ac:dyDescent="0.25">
      <c r="A394" s="9" t="str">
        <f>IF($B394&gt;Trainingsdaten!$H$3,"",MOD(ROW()-4,Trainingsdaten!$H$4)+1)</f>
        <v/>
      </c>
      <c r="B394" s="11" t="str">
        <f>IF(INT((ROW()-4)/Trainingsdaten!$H$4)+1&gt;Trainingsdaten!$H$3,"",INT((ROW()-4)/Trainingsdaten!$H$4)+1)</f>
        <v/>
      </c>
      <c r="C394" s="9" t="str">
        <f>IF(INT((ROW()-4)/Trainingsdaten!$H$4)+1&gt;Trainingsdaten!$H$3,"",MOD(ROW()-4,Trainingsdaten!$H$4)+1)</f>
        <v/>
      </c>
      <c r="D394" s="9" t="str">
        <f>IF($B394&gt;Trainingsdaten!$H$3,"",INDEX(Trainingsdaten!B:B,$C394+1))</f>
        <v/>
      </c>
      <c r="E394" s="7" t="str">
        <f>IF($B394&gt;Trainingsdaten!$H$3,"",INDEX(Trainingsdaten!C:C,$C394+1))</f>
        <v/>
      </c>
      <c r="F394" s="7" t="str">
        <f>IF($B394&gt;Trainingsdaten!$H$3,"",INDEX(Trainingsdaten!D:D,$C394+1))</f>
        <v/>
      </c>
      <c r="G394" s="7" t="str">
        <f>IF($B394&gt;Trainingsdaten!$H$3,"",INDEX(Trainingsdaten!E:E,$C394+1))</f>
        <v/>
      </c>
      <c r="H394" s="11" t="str">
        <f>IF($B394&gt;Trainingsdaten!$H$3,"",Trainingsdaten!$H$2)</f>
        <v/>
      </c>
      <c r="I394" s="7" t="str">
        <f>IF(B394&gt;Trainingsdaten!$H$3,"",I393+H394*N393*E394)</f>
        <v/>
      </c>
      <c r="J394" s="7" t="str">
        <f>IF(B394&gt;Trainingsdaten!$H$3,"",J393+H394*N393*F394)</f>
        <v/>
      </c>
      <c r="K394" s="7" t="str">
        <f>IF(B394&gt;Trainingsdaten!$H$3,"",K393+H394*N393)</f>
        <v/>
      </c>
      <c r="L394" s="7" t="str">
        <f>IF(B394&gt;Trainingsdaten!$H$3,"",E394*I394+F394*J394+K394)</f>
        <v/>
      </c>
      <c r="M394" s="7" t="str">
        <f>IF(B394&gt;Trainingsdaten!$H$3,"",IF(L394&gt;0,1,0))</f>
        <v/>
      </c>
      <c r="N394" s="7" t="str">
        <f>IF(B394&gt;Trainingsdaten!$H$3,"",G394-M394)</f>
        <v/>
      </c>
    </row>
    <row r="395" spans="1:14" x14ac:dyDescent="0.25">
      <c r="A395" s="9" t="str">
        <f>IF($B395&gt;Trainingsdaten!$H$3,"",MOD(ROW()-4,Trainingsdaten!$H$4)+1)</f>
        <v/>
      </c>
      <c r="B395" s="11" t="str">
        <f>IF(INT((ROW()-4)/Trainingsdaten!$H$4)+1&gt;Trainingsdaten!$H$3,"",INT((ROW()-4)/Trainingsdaten!$H$4)+1)</f>
        <v/>
      </c>
      <c r="C395" s="9" t="str">
        <f>IF(INT((ROW()-4)/Trainingsdaten!$H$4)+1&gt;Trainingsdaten!$H$3,"",MOD(ROW()-4,Trainingsdaten!$H$4)+1)</f>
        <v/>
      </c>
      <c r="D395" s="9" t="str">
        <f>IF($B395&gt;Trainingsdaten!$H$3,"",INDEX(Trainingsdaten!B:B,$C395+1))</f>
        <v/>
      </c>
      <c r="E395" s="7" t="str">
        <f>IF($B395&gt;Trainingsdaten!$H$3,"",INDEX(Trainingsdaten!C:C,$C395+1))</f>
        <v/>
      </c>
      <c r="F395" s="7" t="str">
        <f>IF($B395&gt;Trainingsdaten!$H$3,"",INDEX(Trainingsdaten!D:D,$C395+1))</f>
        <v/>
      </c>
      <c r="G395" s="7" t="str">
        <f>IF($B395&gt;Trainingsdaten!$H$3,"",INDEX(Trainingsdaten!E:E,$C395+1))</f>
        <v/>
      </c>
      <c r="H395" s="11" t="str">
        <f>IF($B395&gt;Trainingsdaten!$H$3,"",Trainingsdaten!$H$2)</f>
        <v/>
      </c>
      <c r="I395" s="7" t="str">
        <f>IF(B395&gt;Trainingsdaten!$H$3,"",I394+H395*N394*E395)</f>
        <v/>
      </c>
      <c r="J395" s="7" t="str">
        <f>IF(B395&gt;Trainingsdaten!$H$3,"",J394+H395*N394*F395)</f>
        <v/>
      </c>
      <c r="K395" s="7" t="str">
        <f>IF(B395&gt;Trainingsdaten!$H$3,"",K394+H395*N394)</f>
        <v/>
      </c>
      <c r="L395" s="7" t="str">
        <f>IF(B395&gt;Trainingsdaten!$H$3,"",E395*I395+F395*J395+K395)</f>
        <v/>
      </c>
      <c r="M395" s="7" t="str">
        <f>IF(B395&gt;Trainingsdaten!$H$3,"",IF(L395&gt;0,1,0))</f>
        <v/>
      </c>
      <c r="N395" s="7" t="str">
        <f>IF(B395&gt;Trainingsdaten!$H$3,"",G395-M395)</f>
        <v/>
      </c>
    </row>
    <row r="396" spans="1:14" x14ac:dyDescent="0.25">
      <c r="A396" s="9" t="str">
        <f>IF($B396&gt;Trainingsdaten!$H$3,"",MOD(ROW()-4,Trainingsdaten!$H$4)+1)</f>
        <v/>
      </c>
      <c r="B396" s="11" t="str">
        <f>IF(INT((ROW()-4)/Trainingsdaten!$H$4)+1&gt;Trainingsdaten!$H$3,"",INT((ROW()-4)/Trainingsdaten!$H$4)+1)</f>
        <v/>
      </c>
      <c r="C396" s="9" t="str">
        <f>IF(INT((ROW()-4)/Trainingsdaten!$H$4)+1&gt;Trainingsdaten!$H$3,"",MOD(ROW()-4,Trainingsdaten!$H$4)+1)</f>
        <v/>
      </c>
      <c r="D396" s="9" t="str">
        <f>IF($B396&gt;Trainingsdaten!$H$3,"",INDEX(Trainingsdaten!B:B,$C396+1))</f>
        <v/>
      </c>
      <c r="E396" s="7" t="str">
        <f>IF($B396&gt;Trainingsdaten!$H$3,"",INDEX(Trainingsdaten!C:C,$C396+1))</f>
        <v/>
      </c>
      <c r="F396" s="7" t="str">
        <f>IF($B396&gt;Trainingsdaten!$H$3,"",INDEX(Trainingsdaten!D:D,$C396+1))</f>
        <v/>
      </c>
      <c r="G396" s="7" t="str">
        <f>IF($B396&gt;Trainingsdaten!$H$3,"",INDEX(Trainingsdaten!E:E,$C396+1))</f>
        <v/>
      </c>
      <c r="H396" s="11" t="str">
        <f>IF($B396&gt;Trainingsdaten!$H$3,"",Trainingsdaten!$H$2)</f>
        <v/>
      </c>
      <c r="I396" s="7" t="str">
        <f>IF(B396&gt;Trainingsdaten!$H$3,"",I395+H396*N395*E396)</f>
        <v/>
      </c>
      <c r="J396" s="7" t="str">
        <f>IF(B396&gt;Trainingsdaten!$H$3,"",J395+H396*N395*F396)</f>
        <v/>
      </c>
      <c r="K396" s="7" t="str">
        <f>IF(B396&gt;Trainingsdaten!$H$3,"",K395+H396*N395)</f>
        <v/>
      </c>
      <c r="L396" s="7" t="str">
        <f>IF(B396&gt;Trainingsdaten!$H$3,"",E396*I396+F396*J396+K396)</f>
        <v/>
      </c>
      <c r="M396" s="7" t="str">
        <f>IF(B396&gt;Trainingsdaten!$H$3,"",IF(L396&gt;0,1,0))</f>
        <v/>
      </c>
      <c r="N396" s="7" t="str">
        <f>IF(B396&gt;Trainingsdaten!$H$3,"",G396-M396)</f>
        <v/>
      </c>
    </row>
    <row r="397" spans="1:14" x14ac:dyDescent="0.25">
      <c r="A397" s="9" t="str">
        <f>IF($B397&gt;Trainingsdaten!$H$3,"",MOD(ROW()-4,Trainingsdaten!$H$4)+1)</f>
        <v/>
      </c>
      <c r="B397" s="11" t="str">
        <f>IF(INT((ROW()-4)/Trainingsdaten!$H$4)+1&gt;Trainingsdaten!$H$3,"",INT((ROW()-4)/Trainingsdaten!$H$4)+1)</f>
        <v/>
      </c>
      <c r="C397" s="9" t="str">
        <f>IF(INT((ROW()-4)/Trainingsdaten!$H$4)+1&gt;Trainingsdaten!$H$3,"",MOD(ROW()-4,Trainingsdaten!$H$4)+1)</f>
        <v/>
      </c>
      <c r="D397" s="9" t="str">
        <f>IF($B397&gt;Trainingsdaten!$H$3,"",INDEX(Trainingsdaten!B:B,$C397+1))</f>
        <v/>
      </c>
      <c r="E397" s="7" t="str">
        <f>IF($B397&gt;Trainingsdaten!$H$3,"",INDEX(Trainingsdaten!C:C,$C397+1))</f>
        <v/>
      </c>
      <c r="F397" s="7" t="str">
        <f>IF($B397&gt;Trainingsdaten!$H$3,"",INDEX(Trainingsdaten!D:D,$C397+1))</f>
        <v/>
      </c>
      <c r="G397" s="7" t="str">
        <f>IF($B397&gt;Trainingsdaten!$H$3,"",INDEX(Trainingsdaten!E:E,$C397+1))</f>
        <v/>
      </c>
      <c r="H397" s="11" t="str">
        <f>IF($B397&gt;Trainingsdaten!$H$3,"",Trainingsdaten!$H$2)</f>
        <v/>
      </c>
      <c r="I397" s="7" t="str">
        <f>IF(B397&gt;Trainingsdaten!$H$3,"",I396+H397*N396*E397)</f>
        <v/>
      </c>
      <c r="J397" s="7" t="str">
        <f>IF(B397&gt;Trainingsdaten!$H$3,"",J396+H397*N396*F397)</f>
        <v/>
      </c>
      <c r="K397" s="7" t="str">
        <f>IF(B397&gt;Trainingsdaten!$H$3,"",K396+H397*N396)</f>
        <v/>
      </c>
      <c r="L397" s="7" t="str">
        <f>IF(B397&gt;Trainingsdaten!$H$3,"",E397*I397+F397*J397+K397)</f>
        <v/>
      </c>
      <c r="M397" s="7" t="str">
        <f>IF(B397&gt;Trainingsdaten!$H$3,"",IF(L397&gt;0,1,0))</f>
        <v/>
      </c>
      <c r="N397" s="7" t="str">
        <f>IF(B397&gt;Trainingsdaten!$H$3,"",G397-M397)</f>
        <v/>
      </c>
    </row>
    <row r="398" spans="1:14" x14ac:dyDescent="0.25">
      <c r="A398" s="9" t="str">
        <f>IF($B398&gt;Trainingsdaten!$H$3,"",MOD(ROW()-4,Trainingsdaten!$H$4)+1)</f>
        <v/>
      </c>
      <c r="B398" s="11" t="str">
        <f>IF(INT((ROW()-4)/Trainingsdaten!$H$4)+1&gt;Trainingsdaten!$H$3,"",INT((ROW()-4)/Trainingsdaten!$H$4)+1)</f>
        <v/>
      </c>
      <c r="C398" s="9" t="str">
        <f>IF(INT((ROW()-4)/Trainingsdaten!$H$4)+1&gt;Trainingsdaten!$H$3,"",MOD(ROW()-4,Trainingsdaten!$H$4)+1)</f>
        <v/>
      </c>
      <c r="D398" s="9" t="str">
        <f>IF($B398&gt;Trainingsdaten!$H$3,"",INDEX(Trainingsdaten!B:B,$C398+1))</f>
        <v/>
      </c>
      <c r="E398" s="7" t="str">
        <f>IF($B398&gt;Trainingsdaten!$H$3,"",INDEX(Trainingsdaten!C:C,$C398+1))</f>
        <v/>
      </c>
      <c r="F398" s="7" t="str">
        <f>IF($B398&gt;Trainingsdaten!$H$3,"",INDEX(Trainingsdaten!D:D,$C398+1))</f>
        <v/>
      </c>
      <c r="G398" s="7" t="str">
        <f>IF($B398&gt;Trainingsdaten!$H$3,"",INDEX(Trainingsdaten!E:E,$C398+1))</f>
        <v/>
      </c>
      <c r="H398" s="11" t="str">
        <f>IF($B398&gt;Trainingsdaten!$H$3,"",Trainingsdaten!$H$2)</f>
        <v/>
      </c>
      <c r="I398" s="7" t="str">
        <f>IF(B398&gt;Trainingsdaten!$H$3,"",I397+H398*N397*E398)</f>
        <v/>
      </c>
      <c r="J398" s="7" t="str">
        <f>IF(B398&gt;Trainingsdaten!$H$3,"",J397+H398*N397*F398)</f>
        <v/>
      </c>
      <c r="K398" s="7" t="str">
        <f>IF(B398&gt;Trainingsdaten!$H$3,"",K397+H398*N397)</f>
        <v/>
      </c>
      <c r="L398" s="7" t="str">
        <f>IF(B398&gt;Trainingsdaten!$H$3,"",E398*I398+F398*J398+K398)</f>
        <v/>
      </c>
      <c r="M398" s="7" t="str">
        <f>IF(B398&gt;Trainingsdaten!$H$3,"",IF(L398&gt;0,1,0))</f>
        <v/>
      </c>
      <c r="N398" s="7" t="str">
        <f>IF(B398&gt;Trainingsdaten!$H$3,"",G398-M398)</f>
        <v/>
      </c>
    </row>
    <row r="399" spans="1:14" x14ac:dyDescent="0.25">
      <c r="A399" s="9" t="str">
        <f>IF($B399&gt;Trainingsdaten!$H$3,"",MOD(ROW()-4,Trainingsdaten!$H$4)+1)</f>
        <v/>
      </c>
      <c r="B399" s="11" t="str">
        <f>IF(INT((ROW()-4)/Trainingsdaten!$H$4)+1&gt;Trainingsdaten!$H$3,"",INT((ROW()-4)/Trainingsdaten!$H$4)+1)</f>
        <v/>
      </c>
      <c r="C399" s="9" t="str">
        <f>IF(INT((ROW()-4)/Trainingsdaten!$H$4)+1&gt;Trainingsdaten!$H$3,"",MOD(ROW()-4,Trainingsdaten!$H$4)+1)</f>
        <v/>
      </c>
      <c r="D399" s="9" t="str">
        <f>IF($B399&gt;Trainingsdaten!$H$3,"",INDEX(Trainingsdaten!B:B,$C399+1))</f>
        <v/>
      </c>
      <c r="E399" s="7" t="str">
        <f>IF($B399&gt;Trainingsdaten!$H$3,"",INDEX(Trainingsdaten!C:C,$C399+1))</f>
        <v/>
      </c>
      <c r="F399" s="7" t="str">
        <f>IF($B399&gt;Trainingsdaten!$H$3,"",INDEX(Trainingsdaten!D:D,$C399+1))</f>
        <v/>
      </c>
      <c r="G399" s="7" t="str">
        <f>IF($B399&gt;Trainingsdaten!$H$3,"",INDEX(Trainingsdaten!E:E,$C399+1))</f>
        <v/>
      </c>
      <c r="H399" s="11" t="str">
        <f>IF($B399&gt;Trainingsdaten!$H$3,"",Trainingsdaten!$H$2)</f>
        <v/>
      </c>
      <c r="I399" s="7" t="str">
        <f>IF(B399&gt;Trainingsdaten!$H$3,"",I398+H399*N398*E399)</f>
        <v/>
      </c>
      <c r="J399" s="7" t="str">
        <f>IF(B399&gt;Trainingsdaten!$H$3,"",J398+H399*N398*F399)</f>
        <v/>
      </c>
      <c r="K399" s="7" t="str">
        <f>IF(B399&gt;Trainingsdaten!$H$3,"",K398+H399*N398)</f>
        <v/>
      </c>
      <c r="L399" s="7" t="str">
        <f>IF(B399&gt;Trainingsdaten!$H$3,"",E399*I399+F399*J399+K399)</f>
        <v/>
      </c>
      <c r="M399" s="7" t="str">
        <f>IF(B399&gt;Trainingsdaten!$H$3,"",IF(L399&gt;0,1,0))</f>
        <v/>
      </c>
      <c r="N399" s="7" t="str">
        <f>IF(B399&gt;Trainingsdaten!$H$3,"",G399-M399)</f>
        <v/>
      </c>
    </row>
    <row r="400" spans="1:14" x14ac:dyDescent="0.25">
      <c r="A400" s="9" t="str">
        <f>IF($B400&gt;Trainingsdaten!$H$3,"",MOD(ROW()-4,Trainingsdaten!$H$4)+1)</f>
        <v/>
      </c>
      <c r="B400" s="11" t="str">
        <f>IF(INT((ROW()-4)/Trainingsdaten!$H$4)+1&gt;Trainingsdaten!$H$3,"",INT((ROW()-4)/Trainingsdaten!$H$4)+1)</f>
        <v/>
      </c>
      <c r="C400" s="9" t="str">
        <f>IF(INT((ROW()-4)/Trainingsdaten!$H$4)+1&gt;Trainingsdaten!$H$3,"",MOD(ROW()-4,Trainingsdaten!$H$4)+1)</f>
        <v/>
      </c>
      <c r="D400" s="9" t="str">
        <f>IF($B400&gt;Trainingsdaten!$H$3,"",INDEX(Trainingsdaten!B:B,$C400+1))</f>
        <v/>
      </c>
      <c r="E400" s="7" t="str">
        <f>IF($B400&gt;Trainingsdaten!$H$3,"",INDEX(Trainingsdaten!C:C,$C400+1))</f>
        <v/>
      </c>
      <c r="F400" s="7" t="str">
        <f>IF($B400&gt;Trainingsdaten!$H$3,"",INDEX(Trainingsdaten!D:D,$C400+1))</f>
        <v/>
      </c>
      <c r="G400" s="7" t="str">
        <f>IF($B400&gt;Trainingsdaten!$H$3,"",INDEX(Trainingsdaten!E:E,$C400+1))</f>
        <v/>
      </c>
      <c r="H400" s="11" t="str">
        <f>IF($B400&gt;Trainingsdaten!$H$3,"",Trainingsdaten!$H$2)</f>
        <v/>
      </c>
      <c r="I400" s="7" t="str">
        <f>IF(B400&gt;Trainingsdaten!$H$3,"",I399+H400*N399*E400)</f>
        <v/>
      </c>
      <c r="J400" s="7" t="str">
        <f>IF(B400&gt;Trainingsdaten!$H$3,"",J399+H400*N399*F400)</f>
        <v/>
      </c>
      <c r="K400" s="7" t="str">
        <f>IF(B400&gt;Trainingsdaten!$H$3,"",K399+H400*N399)</f>
        <v/>
      </c>
      <c r="L400" s="7" t="str">
        <f>IF(B400&gt;Trainingsdaten!$H$3,"",E400*I400+F400*J400+K400)</f>
        <v/>
      </c>
      <c r="M400" s="7" t="str">
        <f>IF(B400&gt;Trainingsdaten!$H$3,"",IF(L400&gt;0,1,0))</f>
        <v/>
      </c>
      <c r="N400" s="7" t="str">
        <f>IF(B400&gt;Trainingsdaten!$H$3,"",G400-M400)</f>
        <v/>
      </c>
    </row>
    <row r="401" spans="1:14" x14ac:dyDescent="0.25">
      <c r="A401" s="9" t="str">
        <f>IF($B401&gt;Trainingsdaten!$H$3,"",MOD(ROW()-4,Trainingsdaten!$H$4)+1)</f>
        <v/>
      </c>
      <c r="B401" s="11" t="str">
        <f>IF(INT((ROW()-4)/Trainingsdaten!$H$4)+1&gt;Trainingsdaten!$H$3,"",INT((ROW()-4)/Trainingsdaten!$H$4)+1)</f>
        <v/>
      </c>
      <c r="C401" s="9" t="str">
        <f>IF(INT((ROW()-4)/Trainingsdaten!$H$4)+1&gt;Trainingsdaten!$H$3,"",MOD(ROW()-4,Trainingsdaten!$H$4)+1)</f>
        <v/>
      </c>
      <c r="D401" s="9" t="str">
        <f>IF($B401&gt;Trainingsdaten!$H$3,"",INDEX(Trainingsdaten!B:B,$C401+1))</f>
        <v/>
      </c>
      <c r="E401" s="7" t="str">
        <f>IF($B401&gt;Trainingsdaten!$H$3,"",INDEX(Trainingsdaten!C:C,$C401+1))</f>
        <v/>
      </c>
      <c r="F401" s="7" t="str">
        <f>IF($B401&gt;Trainingsdaten!$H$3,"",INDEX(Trainingsdaten!D:D,$C401+1))</f>
        <v/>
      </c>
      <c r="G401" s="7" t="str">
        <f>IF($B401&gt;Trainingsdaten!$H$3,"",INDEX(Trainingsdaten!E:E,$C401+1))</f>
        <v/>
      </c>
      <c r="H401" s="11" t="str">
        <f>IF($B401&gt;Trainingsdaten!$H$3,"",Trainingsdaten!$H$2)</f>
        <v/>
      </c>
      <c r="I401" s="7" t="str">
        <f>IF(B401&gt;Trainingsdaten!$H$3,"",I400+H401*N400*E401)</f>
        <v/>
      </c>
      <c r="J401" s="7" t="str">
        <f>IF(B401&gt;Trainingsdaten!$H$3,"",J400+H401*N400*F401)</f>
        <v/>
      </c>
      <c r="K401" s="7" t="str">
        <f>IF(B401&gt;Trainingsdaten!$H$3,"",K400+H401*N400)</f>
        <v/>
      </c>
      <c r="L401" s="7" t="str">
        <f>IF(B401&gt;Trainingsdaten!$H$3,"",E401*I401+F401*J401+K401)</f>
        <v/>
      </c>
      <c r="M401" s="7" t="str">
        <f>IF(B401&gt;Trainingsdaten!$H$3,"",IF(L401&gt;0,1,0))</f>
        <v/>
      </c>
      <c r="N401" s="7" t="str">
        <f>IF(B401&gt;Trainingsdaten!$H$3,"",G401-M401)</f>
        <v/>
      </c>
    </row>
    <row r="402" spans="1:14" x14ac:dyDescent="0.25">
      <c r="A402" s="9" t="str">
        <f>IF($B402&gt;Trainingsdaten!$H$3,"",MOD(ROW()-4,Trainingsdaten!$H$4)+1)</f>
        <v/>
      </c>
      <c r="B402" s="11" t="str">
        <f>IF(INT((ROW()-4)/Trainingsdaten!$H$4)+1&gt;Trainingsdaten!$H$3,"",INT((ROW()-4)/Trainingsdaten!$H$4)+1)</f>
        <v/>
      </c>
      <c r="C402" s="9" t="str">
        <f>IF(INT((ROW()-4)/Trainingsdaten!$H$4)+1&gt;Trainingsdaten!$H$3,"",MOD(ROW()-4,Trainingsdaten!$H$4)+1)</f>
        <v/>
      </c>
      <c r="D402" s="9" t="str">
        <f>IF($B402&gt;Trainingsdaten!$H$3,"",INDEX(Trainingsdaten!B:B,$C402+1))</f>
        <v/>
      </c>
      <c r="E402" s="7" t="str">
        <f>IF($B402&gt;Trainingsdaten!$H$3,"",INDEX(Trainingsdaten!C:C,$C402+1))</f>
        <v/>
      </c>
      <c r="F402" s="7" t="str">
        <f>IF($B402&gt;Trainingsdaten!$H$3,"",INDEX(Trainingsdaten!D:D,$C402+1))</f>
        <v/>
      </c>
      <c r="G402" s="7" t="str">
        <f>IF($B402&gt;Trainingsdaten!$H$3,"",INDEX(Trainingsdaten!E:E,$C402+1))</f>
        <v/>
      </c>
      <c r="H402" s="11" t="str">
        <f>IF($B402&gt;Trainingsdaten!$H$3,"",Trainingsdaten!$H$2)</f>
        <v/>
      </c>
      <c r="I402" s="7" t="str">
        <f>IF(B402&gt;Trainingsdaten!$H$3,"",I401+H402*N401*E402)</f>
        <v/>
      </c>
      <c r="J402" s="7" t="str">
        <f>IF(B402&gt;Trainingsdaten!$H$3,"",J401+H402*N401*F402)</f>
        <v/>
      </c>
      <c r="K402" s="7" t="str">
        <f>IF(B402&gt;Trainingsdaten!$H$3,"",K401+H402*N401)</f>
        <v/>
      </c>
      <c r="L402" s="7" t="str">
        <f>IF(B402&gt;Trainingsdaten!$H$3,"",E402*I402+F402*J402+K402)</f>
        <v/>
      </c>
      <c r="M402" s="7" t="str">
        <f>IF(B402&gt;Trainingsdaten!$H$3,"",IF(L402&gt;0,1,0))</f>
        <v/>
      </c>
      <c r="N402" s="7" t="str">
        <f>IF(B402&gt;Trainingsdaten!$H$3,"",G402-M402)</f>
        <v/>
      </c>
    </row>
    <row r="403" spans="1:14" x14ac:dyDescent="0.25">
      <c r="A403" s="9" t="str">
        <f>IF($B403&gt;Trainingsdaten!$H$3,"",MOD(ROW()-4,Trainingsdaten!$H$4)+1)</f>
        <v/>
      </c>
      <c r="B403" s="11" t="str">
        <f>IF(INT((ROW()-4)/Trainingsdaten!$H$4)+1&gt;Trainingsdaten!$H$3,"",INT((ROW()-4)/Trainingsdaten!$H$4)+1)</f>
        <v/>
      </c>
      <c r="C403" s="9" t="str">
        <f>IF(INT((ROW()-4)/Trainingsdaten!$H$4)+1&gt;Trainingsdaten!$H$3,"",MOD(ROW()-4,Trainingsdaten!$H$4)+1)</f>
        <v/>
      </c>
      <c r="D403" s="9" t="str">
        <f>IF($B403&gt;Trainingsdaten!$H$3,"",INDEX(Trainingsdaten!B:B,$C403+1))</f>
        <v/>
      </c>
      <c r="E403" s="7" t="str">
        <f>IF($B403&gt;Trainingsdaten!$H$3,"",INDEX(Trainingsdaten!C:C,$C403+1))</f>
        <v/>
      </c>
      <c r="F403" s="7" t="str">
        <f>IF($B403&gt;Trainingsdaten!$H$3,"",INDEX(Trainingsdaten!D:D,$C403+1))</f>
        <v/>
      </c>
      <c r="G403" s="7" t="str">
        <f>IF($B403&gt;Trainingsdaten!$H$3,"",INDEX(Trainingsdaten!E:E,$C403+1))</f>
        <v/>
      </c>
      <c r="H403" s="11" t="str">
        <f>IF($B403&gt;Trainingsdaten!$H$3,"",Trainingsdaten!$H$2)</f>
        <v/>
      </c>
      <c r="I403" s="7" t="str">
        <f>IF(B403&gt;Trainingsdaten!$H$3,"",I402+H403*N402*E403)</f>
        <v/>
      </c>
      <c r="J403" s="7" t="str">
        <f>IF(B403&gt;Trainingsdaten!$H$3,"",J402+H403*N402*F403)</f>
        <v/>
      </c>
      <c r="K403" s="7" t="str">
        <f>IF(B403&gt;Trainingsdaten!$H$3,"",K402+H403*N402)</f>
        <v/>
      </c>
      <c r="L403" s="7" t="str">
        <f>IF(B403&gt;Trainingsdaten!$H$3,"",E403*I403+F403*J403+K403)</f>
        <v/>
      </c>
      <c r="M403" s="7" t="str">
        <f>IF(B403&gt;Trainingsdaten!$H$3,"",IF(L403&gt;0,1,0))</f>
        <v/>
      </c>
      <c r="N403" s="7" t="str">
        <f>IF(B403&gt;Trainingsdaten!$H$3,"",G403-M403)</f>
        <v/>
      </c>
    </row>
    <row r="404" spans="1:14" x14ac:dyDescent="0.25">
      <c r="A404" s="9" t="str">
        <f>IF($B404&gt;Trainingsdaten!$H$3,"",MOD(ROW()-4,Trainingsdaten!$H$4)+1)</f>
        <v/>
      </c>
      <c r="B404" s="11" t="str">
        <f>IF(INT((ROW()-4)/Trainingsdaten!$H$4)+1&gt;Trainingsdaten!$H$3,"",INT((ROW()-4)/Trainingsdaten!$H$4)+1)</f>
        <v/>
      </c>
      <c r="C404" s="9" t="str">
        <f>IF(INT((ROW()-4)/Trainingsdaten!$H$4)+1&gt;Trainingsdaten!$H$3,"",MOD(ROW()-4,Trainingsdaten!$H$4)+1)</f>
        <v/>
      </c>
      <c r="D404" s="9" t="str">
        <f>IF($B404&gt;Trainingsdaten!$H$3,"",INDEX(Trainingsdaten!B:B,$C404+1))</f>
        <v/>
      </c>
      <c r="E404" s="7" t="str">
        <f>IF($B404&gt;Trainingsdaten!$H$3,"",INDEX(Trainingsdaten!C:C,$C404+1))</f>
        <v/>
      </c>
      <c r="F404" s="7" t="str">
        <f>IF($B404&gt;Trainingsdaten!$H$3,"",INDEX(Trainingsdaten!D:D,$C404+1))</f>
        <v/>
      </c>
      <c r="G404" s="7" t="str">
        <f>IF($B404&gt;Trainingsdaten!$H$3,"",INDEX(Trainingsdaten!E:E,$C404+1))</f>
        <v/>
      </c>
      <c r="H404" s="11" t="str">
        <f>IF($B404&gt;Trainingsdaten!$H$3,"",Trainingsdaten!$H$2)</f>
        <v/>
      </c>
      <c r="I404" s="7" t="str">
        <f>IF(B404&gt;Trainingsdaten!$H$3,"",I403+H404*N403*E404)</f>
        <v/>
      </c>
      <c r="J404" s="7" t="str">
        <f>IF(B404&gt;Trainingsdaten!$H$3,"",J403+H404*N403*F404)</f>
        <v/>
      </c>
      <c r="K404" s="7" t="str">
        <f>IF(B404&gt;Trainingsdaten!$H$3,"",K403+H404*N403)</f>
        <v/>
      </c>
      <c r="L404" s="7" t="str">
        <f>IF(B404&gt;Trainingsdaten!$H$3,"",E404*I404+F404*J404+K404)</f>
        <v/>
      </c>
      <c r="M404" s="7" t="str">
        <f>IF(B404&gt;Trainingsdaten!$H$3,"",IF(L404&gt;0,1,0))</f>
        <v/>
      </c>
      <c r="N404" s="7" t="str">
        <f>IF(B404&gt;Trainingsdaten!$H$3,"",G404-M404)</f>
        <v/>
      </c>
    </row>
    <row r="405" spans="1:14" x14ac:dyDescent="0.25">
      <c r="A405" s="9" t="str">
        <f>IF($B405&gt;Trainingsdaten!$H$3,"",MOD(ROW()-4,Trainingsdaten!$H$4)+1)</f>
        <v/>
      </c>
      <c r="B405" s="11" t="str">
        <f>IF(INT((ROW()-4)/Trainingsdaten!$H$4)+1&gt;Trainingsdaten!$H$3,"",INT((ROW()-4)/Trainingsdaten!$H$4)+1)</f>
        <v/>
      </c>
      <c r="C405" s="9" t="str">
        <f>IF(INT((ROW()-4)/Trainingsdaten!$H$4)+1&gt;Trainingsdaten!$H$3,"",MOD(ROW()-4,Trainingsdaten!$H$4)+1)</f>
        <v/>
      </c>
      <c r="D405" s="9" t="str">
        <f>IF($B405&gt;Trainingsdaten!$H$3,"",INDEX(Trainingsdaten!B:B,$C405+1))</f>
        <v/>
      </c>
      <c r="E405" s="7" t="str">
        <f>IF($B405&gt;Trainingsdaten!$H$3,"",INDEX(Trainingsdaten!C:C,$C405+1))</f>
        <v/>
      </c>
      <c r="F405" s="7" t="str">
        <f>IF($B405&gt;Trainingsdaten!$H$3,"",INDEX(Trainingsdaten!D:D,$C405+1))</f>
        <v/>
      </c>
      <c r="G405" s="7" t="str">
        <f>IF($B405&gt;Trainingsdaten!$H$3,"",INDEX(Trainingsdaten!E:E,$C405+1))</f>
        <v/>
      </c>
      <c r="H405" s="11" t="str">
        <f>IF($B405&gt;Trainingsdaten!$H$3,"",Trainingsdaten!$H$2)</f>
        <v/>
      </c>
      <c r="I405" s="7" t="str">
        <f>IF(B405&gt;Trainingsdaten!$H$3,"",I404+H405*N404*E405)</f>
        <v/>
      </c>
      <c r="J405" s="7" t="str">
        <f>IF(B405&gt;Trainingsdaten!$H$3,"",J404+H405*N404*F405)</f>
        <v/>
      </c>
      <c r="K405" s="7" t="str">
        <f>IF(B405&gt;Trainingsdaten!$H$3,"",K404+H405*N404)</f>
        <v/>
      </c>
      <c r="L405" s="7" t="str">
        <f>IF(B405&gt;Trainingsdaten!$H$3,"",E405*I405+F405*J405+K405)</f>
        <v/>
      </c>
      <c r="M405" s="7" t="str">
        <f>IF(B405&gt;Trainingsdaten!$H$3,"",IF(L405&gt;0,1,0))</f>
        <v/>
      </c>
      <c r="N405" s="7" t="str">
        <f>IF(B405&gt;Trainingsdaten!$H$3,"",G405-M405)</f>
        <v/>
      </c>
    </row>
    <row r="406" spans="1:14" x14ac:dyDescent="0.25">
      <c r="A406" s="9" t="str">
        <f>IF($B406&gt;Trainingsdaten!$H$3,"",MOD(ROW()-4,Trainingsdaten!$H$4)+1)</f>
        <v/>
      </c>
      <c r="B406" s="11" t="str">
        <f>IF(INT((ROW()-4)/Trainingsdaten!$H$4)+1&gt;Trainingsdaten!$H$3,"",INT((ROW()-4)/Trainingsdaten!$H$4)+1)</f>
        <v/>
      </c>
      <c r="C406" s="9" t="str">
        <f>IF(INT((ROW()-4)/Trainingsdaten!$H$4)+1&gt;Trainingsdaten!$H$3,"",MOD(ROW()-4,Trainingsdaten!$H$4)+1)</f>
        <v/>
      </c>
      <c r="D406" s="9" t="str">
        <f>IF($B406&gt;Trainingsdaten!$H$3,"",INDEX(Trainingsdaten!B:B,$C406+1))</f>
        <v/>
      </c>
      <c r="E406" s="7" t="str">
        <f>IF($B406&gt;Trainingsdaten!$H$3,"",INDEX(Trainingsdaten!C:C,$C406+1))</f>
        <v/>
      </c>
      <c r="F406" s="7" t="str">
        <f>IF($B406&gt;Trainingsdaten!$H$3,"",INDEX(Trainingsdaten!D:D,$C406+1))</f>
        <v/>
      </c>
      <c r="G406" s="7" t="str">
        <f>IF($B406&gt;Trainingsdaten!$H$3,"",INDEX(Trainingsdaten!E:E,$C406+1))</f>
        <v/>
      </c>
      <c r="H406" s="11" t="str">
        <f>IF($B406&gt;Trainingsdaten!$H$3,"",Trainingsdaten!$H$2)</f>
        <v/>
      </c>
      <c r="I406" s="7" t="str">
        <f>IF(B406&gt;Trainingsdaten!$H$3,"",I405+H406*N405*E406)</f>
        <v/>
      </c>
      <c r="J406" s="7" t="str">
        <f>IF(B406&gt;Trainingsdaten!$H$3,"",J405+H406*N405*F406)</f>
        <v/>
      </c>
      <c r="K406" s="7" t="str">
        <f>IF(B406&gt;Trainingsdaten!$H$3,"",K405+H406*N405)</f>
        <v/>
      </c>
      <c r="L406" s="7" t="str">
        <f>IF(B406&gt;Trainingsdaten!$H$3,"",E406*I406+F406*J406+K406)</f>
        <v/>
      </c>
      <c r="M406" s="7" t="str">
        <f>IF(B406&gt;Trainingsdaten!$H$3,"",IF(L406&gt;0,1,0))</f>
        <v/>
      </c>
      <c r="N406" s="7" t="str">
        <f>IF(B406&gt;Trainingsdaten!$H$3,"",G406-M406)</f>
        <v/>
      </c>
    </row>
    <row r="407" spans="1:14" x14ac:dyDescent="0.25">
      <c r="A407" s="9" t="str">
        <f>IF($B407&gt;Trainingsdaten!$H$3,"",MOD(ROW()-4,Trainingsdaten!$H$4)+1)</f>
        <v/>
      </c>
      <c r="B407" s="11" t="str">
        <f>IF(INT((ROW()-4)/Trainingsdaten!$H$4)+1&gt;Trainingsdaten!$H$3,"",INT((ROW()-4)/Trainingsdaten!$H$4)+1)</f>
        <v/>
      </c>
      <c r="C407" s="9" t="str">
        <f>IF(INT((ROW()-4)/Trainingsdaten!$H$4)+1&gt;Trainingsdaten!$H$3,"",MOD(ROW()-4,Trainingsdaten!$H$4)+1)</f>
        <v/>
      </c>
      <c r="D407" s="9" t="str">
        <f>IF($B407&gt;Trainingsdaten!$H$3,"",INDEX(Trainingsdaten!B:B,$C407+1))</f>
        <v/>
      </c>
      <c r="E407" s="7" t="str">
        <f>IF($B407&gt;Trainingsdaten!$H$3,"",INDEX(Trainingsdaten!C:C,$C407+1))</f>
        <v/>
      </c>
      <c r="F407" s="7" t="str">
        <f>IF($B407&gt;Trainingsdaten!$H$3,"",INDEX(Trainingsdaten!D:D,$C407+1))</f>
        <v/>
      </c>
      <c r="G407" s="7" t="str">
        <f>IF($B407&gt;Trainingsdaten!$H$3,"",INDEX(Trainingsdaten!E:E,$C407+1))</f>
        <v/>
      </c>
      <c r="H407" s="11" t="str">
        <f>IF($B407&gt;Trainingsdaten!$H$3,"",Trainingsdaten!$H$2)</f>
        <v/>
      </c>
      <c r="I407" s="7" t="str">
        <f>IF(B407&gt;Trainingsdaten!$H$3,"",I406+H407*N406*E407)</f>
        <v/>
      </c>
      <c r="J407" s="7" t="str">
        <f>IF(B407&gt;Trainingsdaten!$H$3,"",J406+H407*N406*F407)</f>
        <v/>
      </c>
      <c r="K407" s="7" t="str">
        <f>IF(B407&gt;Trainingsdaten!$H$3,"",K406+H407*N406)</f>
        <v/>
      </c>
      <c r="L407" s="7" t="str">
        <f>IF(B407&gt;Trainingsdaten!$H$3,"",E407*I407+F407*J407+K407)</f>
        <v/>
      </c>
      <c r="M407" s="7" t="str">
        <f>IF(B407&gt;Trainingsdaten!$H$3,"",IF(L407&gt;0,1,0))</f>
        <v/>
      </c>
      <c r="N407" s="7" t="str">
        <f>IF(B407&gt;Trainingsdaten!$H$3,"",G407-M407)</f>
        <v/>
      </c>
    </row>
    <row r="408" spans="1:14" x14ac:dyDescent="0.25">
      <c r="A408" s="9" t="str">
        <f>IF($B408&gt;Trainingsdaten!$H$3,"",MOD(ROW()-4,Trainingsdaten!$H$4)+1)</f>
        <v/>
      </c>
      <c r="B408" s="11" t="str">
        <f>IF(INT((ROW()-4)/Trainingsdaten!$H$4)+1&gt;Trainingsdaten!$H$3,"",INT((ROW()-4)/Trainingsdaten!$H$4)+1)</f>
        <v/>
      </c>
      <c r="C408" s="9" t="str">
        <f>IF(INT((ROW()-4)/Trainingsdaten!$H$4)+1&gt;Trainingsdaten!$H$3,"",MOD(ROW()-4,Trainingsdaten!$H$4)+1)</f>
        <v/>
      </c>
      <c r="D408" s="9" t="str">
        <f>IF($B408&gt;Trainingsdaten!$H$3,"",INDEX(Trainingsdaten!B:B,$C408+1))</f>
        <v/>
      </c>
      <c r="E408" s="7" t="str">
        <f>IF($B408&gt;Trainingsdaten!$H$3,"",INDEX(Trainingsdaten!C:C,$C408+1))</f>
        <v/>
      </c>
      <c r="F408" s="7" t="str">
        <f>IF($B408&gt;Trainingsdaten!$H$3,"",INDEX(Trainingsdaten!D:D,$C408+1))</f>
        <v/>
      </c>
      <c r="G408" s="7" t="str">
        <f>IF($B408&gt;Trainingsdaten!$H$3,"",INDEX(Trainingsdaten!E:E,$C408+1))</f>
        <v/>
      </c>
      <c r="H408" s="11" t="str">
        <f>IF($B408&gt;Trainingsdaten!$H$3,"",Trainingsdaten!$H$2)</f>
        <v/>
      </c>
      <c r="I408" s="7" t="str">
        <f>IF(B408&gt;Trainingsdaten!$H$3,"",I407+H408*N407*E408)</f>
        <v/>
      </c>
      <c r="J408" s="7" t="str">
        <f>IF(B408&gt;Trainingsdaten!$H$3,"",J407+H408*N407*F408)</f>
        <v/>
      </c>
      <c r="K408" s="7" t="str">
        <f>IF(B408&gt;Trainingsdaten!$H$3,"",K407+H408*N407)</f>
        <v/>
      </c>
      <c r="L408" s="7" t="str">
        <f>IF(B408&gt;Trainingsdaten!$H$3,"",E408*I408+F408*J408+K408)</f>
        <v/>
      </c>
      <c r="M408" s="7" t="str">
        <f>IF(B408&gt;Trainingsdaten!$H$3,"",IF(L408&gt;0,1,0))</f>
        <v/>
      </c>
      <c r="N408" s="7" t="str">
        <f>IF(B408&gt;Trainingsdaten!$H$3,"",G408-M408)</f>
        <v/>
      </c>
    </row>
    <row r="409" spans="1:14" x14ac:dyDescent="0.25">
      <c r="A409" s="9" t="str">
        <f>IF($B409&gt;Trainingsdaten!$H$3,"",MOD(ROW()-4,Trainingsdaten!$H$4)+1)</f>
        <v/>
      </c>
      <c r="B409" s="11" t="str">
        <f>IF(INT((ROW()-4)/Trainingsdaten!$H$4)+1&gt;Trainingsdaten!$H$3,"",INT((ROW()-4)/Trainingsdaten!$H$4)+1)</f>
        <v/>
      </c>
      <c r="C409" s="9" t="str">
        <f>IF(INT((ROW()-4)/Trainingsdaten!$H$4)+1&gt;Trainingsdaten!$H$3,"",MOD(ROW()-4,Trainingsdaten!$H$4)+1)</f>
        <v/>
      </c>
      <c r="D409" s="9" t="str">
        <f>IF($B409&gt;Trainingsdaten!$H$3,"",INDEX(Trainingsdaten!B:B,$C409+1))</f>
        <v/>
      </c>
      <c r="E409" s="7" t="str">
        <f>IF($B409&gt;Trainingsdaten!$H$3,"",INDEX(Trainingsdaten!C:C,$C409+1))</f>
        <v/>
      </c>
      <c r="F409" s="7" t="str">
        <f>IF($B409&gt;Trainingsdaten!$H$3,"",INDEX(Trainingsdaten!D:D,$C409+1))</f>
        <v/>
      </c>
      <c r="G409" s="7" t="str">
        <f>IF($B409&gt;Trainingsdaten!$H$3,"",INDEX(Trainingsdaten!E:E,$C409+1))</f>
        <v/>
      </c>
      <c r="H409" s="11" t="str">
        <f>IF($B409&gt;Trainingsdaten!$H$3,"",Trainingsdaten!$H$2)</f>
        <v/>
      </c>
      <c r="I409" s="7" t="str">
        <f>IF(B409&gt;Trainingsdaten!$H$3,"",I408+H409*N408*E409)</f>
        <v/>
      </c>
      <c r="J409" s="7" t="str">
        <f>IF(B409&gt;Trainingsdaten!$H$3,"",J408+H409*N408*F409)</f>
        <v/>
      </c>
      <c r="K409" s="7" t="str">
        <f>IF(B409&gt;Trainingsdaten!$H$3,"",K408+H409*N408)</f>
        <v/>
      </c>
      <c r="L409" s="7" t="str">
        <f>IF(B409&gt;Trainingsdaten!$H$3,"",E409*I409+F409*J409+K409)</f>
        <v/>
      </c>
      <c r="M409" s="7" t="str">
        <f>IF(B409&gt;Trainingsdaten!$H$3,"",IF(L409&gt;0,1,0))</f>
        <v/>
      </c>
      <c r="N409" s="7" t="str">
        <f>IF(B409&gt;Trainingsdaten!$H$3,"",G409-M409)</f>
        <v/>
      </c>
    </row>
    <row r="410" spans="1:14" x14ac:dyDescent="0.25">
      <c r="A410" s="9" t="str">
        <f>IF($B410&gt;Trainingsdaten!$H$3,"",MOD(ROW()-4,Trainingsdaten!$H$4)+1)</f>
        <v/>
      </c>
      <c r="B410" s="11" t="str">
        <f>IF(INT((ROW()-4)/Trainingsdaten!$H$4)+1&gt;Trainingsdaten!$H$3,"",INT((ROW()-4)/Trainingsdaten!$H$4)+1)</f>
        <v/>
      </c>
      <c r="C410" s="9" t="str">
        <f>IF(INT((ROW()-4)/Trainingsdaten!$H$4)+1&gt;Trainingsdaten!$H$3,"",MOD(ROW()-4,Trainingsdaten!$H$4)+1)</f>
        <v/>
      </c>
      <c r="D410" s="9" t="str">
        <f>IF($B410&gt;Trainingsdaten!$H$3,"",INDEX(Trainingsdaten!B:B,$C410+1))</f>
        <v/>
      </c>
      <c r="E410" s="7" t="str">
        <f>IF($B410&gt;Trainingsdaten!$H$3,"",INDEX(Trainingsdaten!C:C,$C410+1))</f>
        <v/>
      </c>
      <c r="F410" s="7" t="str">
        <f>IF($B410&gt;Trainingsdaten!$H$3,"",INDEX(Trainingsdaten!D:D,$C410+1))</f>
        <v/>
      </c>
      <c r="G410" s="7" t="str">
        <f>IF($B410&gt;Trainingsdaten!$H$3,"",INDEX(Trainingsdaten!E:E,$C410+1))</f>
        <v/>
      </c>
      <c r="H410" s="11" t="str">
        <f>IF($B410&gt;Trainingsdaten!$H$3,"",Trainingsdaten!$H$2)</f>
        <v/>
      </c>
      <c r="I410" s="7" t="str">
        <f>IF(B410&gt;Trainingsdaten!$H$3,"",I409+H410*N409*E410)</f>
        <v/>
      </c>
      <c r="J410" s="7" t="str">
        <f>IF(B410&gt;Trainingsdaten!$H$3,"",J409+H410*N409*F410)</f>
        <v/>
      </c>
      <c r="K410" s="7" t="str">
        <f>IF(B410&gt;Trainingsdaten!$H$3,"",K409+H410*N409)</f>
        <v/>
      </c>
      <c r="L410" s="7" t="str">
        <f>IF(B410&gt;Trainingsdaten!$H$3,"",E410*I410+F410*J410+K410)</f>
        <v/>
      </c>
      <c r="M410" s="7" t="str">
        <f>IF(B410&gt;Trainingsdaten!$H$3,"",IF(L410&gt;0,1,0))</f>
        <v/>
      </c>
      <c r="N410" s="7" t="str">
        <f>IF(B410&gt;Trainingsdaten!$H$3,"",G410-M410)</f>
        <v/>
      </c>
    </row>
    <row r="411" spans="1:14" x14ac:dyDescent="0.25">
      <c r="A411" s="9" t="str">
        <f>IF($B411&gt;Trainingsdaten!$H$3,"",MOD(ROW()-4,Trainingsdaten!$H$4)+1)</f>
        <v/>
      </c>
      <c r="B411" s="11" t="str">
        <f>IF(INT((ROW()-4)/Trainingsdaten!$H$4)+1&gt;Trainingsdaten!$H$3,"",INT((ROW()-4)/Trainingsdaten!$H$4)+1)</f>
        <v/>
      </c>
      <c r="C411" s="9" t="str">
        <f>IF(INT((ROW()-4)/Trainingsdaten!$H$4)+1&gt;Trainingsdaten!$H$3,"",MOD(ROW()-4,Trainingsdaten!$H$4)+1)</f>
        <v/>
      </c>
      <c r="D411" s="9" t="str">
        <f>IF($B411&gt;Trainingsdaten!$H$3,"",INDEX(Trainingsdaten!B:B,$C411+1))</f>
        <v/>
      </c>
      <c r="E411" s="7" t="str">
        <f>IF($B411&gt;Trainingsdaten!$H$3,"",INDEX(Trainingsdaten!C:C,$C411+1))</f>
        <v/>
      </c>
      <c r="F411" s="7" t="str">
        <f>IF($B411&gt;Trainingsdaten!$H$3,"",INDEX(Trainingsdaten!D:D,$C411+1))</f>
        <v/>
      </c>
      <c r="G411" s="7" t="str">
        <f>IF($B411&gt;Trainingsdaten!$H$3,"",INDEX(Trainingsdaten!E:E,$C411+1))</f>
        <v/>
      </c>
      <c r="H411" s="11" t="str">
        <f>IF($B411&gt;Trainingsdaten!$H$3,"",Trainingsdaten!$H$2)</f>
        <v/>
      </c>
      <c r="I411" s="7" t="str">
        <f>IF(B411&gt;Trainingsdaten!$H$3,"",I410+H411*N410*E411)</f>
        <v/>
      </c>
      <c r="J411" s="7" t="str">
        <f>IF(B411&gt;Trainingsdaten!$H$3,"",J410+H411*N410*F411)</f>
        <v/>
      </c>
      <c r="K411" s="7" t="str">
        <f>IF(B411&gt;Trainingsdaten!$H$3,"",K410+H411*N410)</f>
        <v/>
      </c>
      <c r="L411" s="7" t="str">
        <f>IF(B411&gt;Trainingsdaten!$H$3,"",E411*I411+F411*J411+K411)</f>
        <v/>
      </c>
      <c r="M411" s="7" t="str">
        <f>IF(B411&gt;Trainingsdaten!$H$3,"",IF(L411&gt;0,1,0))</f>
        <v/>
      </c>
      <c r="N411" s="7" t="str">
        <f>IF(B411&gt;Trainingsdaten!$H$3,"",G411-M411)</f>
        <v/>
      </c>
    </row>
    <row r="412" spans="1:14" x14ac:dyDescent="0.25">
      <c r="A412" s="9" t="str">
        <f>IF($B412&gt;Trainingsdaten!$H$3,"",MOD(ROW()-4,Trainingsdaten!$H$4)+1)</f>
        <v/>
      </c>
      <c r="B412" s="11" t="str">
        <f>IF(INT((ROW()-4)/Trainingsdaten!$H$4)+1&gt;Trainingsdaten!$H$3,"",INT((ROW()-4)/Trainingsdaten!$H$4)+1)</f>
        <v/>
      </c>
      <c r="C412" s="9" t="str">
        <f>IF(INT((ROW()-4)/Trainingsdaten!$H$4)+1&gt;Trainingsdaten!$H$3,"",MOD(ROW()-4,Trainingsdaten!$H$4)+1)</f>
        <v/>
      </c>
      <c r="D412" s="9" t="str">
        <f>IF($B412&gt;Trainingsdaten!$H$3,"",INDEX(Trainingsdaten!B:B,$C412+1))</f>
        <v/>
      </c>
      <c r="E412" s="7" t="str">
        <f>IF($B412&gt;Trainingsdaten!$H$3,"",INDEX(Trainingsdaten!C:C,$C412+1))</f>
        <v/>
      </c>
      <c r="F412" s="7" t="str">
        <f>IF($B412&gt;Trainingsdaten!$H$3,"",INDEX(Trainingsdaten!D:D,$C412+1))</f>
        <v/>
      </c>
      <c r="G412" s="7" t="str">
        <f>IF($B412&gt;Trainingsdaten!$H$3,"",INDEX(Trainingsdaten!E:E,$C412+1))</f>
        <v/>
      </c>
      <c r="H412" s="11" t="str">
        <f>IF($B412&gt;Trainingsdaten!$H$3,"",Trainingsdaten!$H$2)</f>
        <v/>
      </c>
      <c r="I412" s="7" t="str">
        <f>IF(B412&gt;Trainingsdaten!$H$3,"",I411+H412*N411*E412)</f>
        <v/>
      </c>
      <c r="J412" s="7" t="str">
        <f>IF(B412&gt;Trainingsdaten!$H$3,"",J411+H412*N411*F412)</f>
        <v/>
      </c>
      <c r="K412" s="7" t="str">
        <f>IF(B412&gt;Trainingsdaten!$H$3,"",K411+H412*N411)</f>
        <v/>
      </c>
      <c r="L412" s="7" t="str">
        <f>IF(B412&gt;Trainingsdaten!$H$3,"",E412*I412+F412*J412+K412)</f>
        <v/>
      </c>
      <c r="M412" s="7" t="str">
        <f>IF(B412&gt;Trainingsdaten!$H$3,"",IF(L412&gt;0,1,0))</f>
        <v/>
      </c>
      <c r="N412" s="7" t="str">
        <f>IF(B412&gt;Trainingsdaten!$H$3,"",G412-M412)</f>
        <v/>
      </c>
    </row>
    <row r="413" spans="1:14" x14ac:dyDescent="0.25">
      <c r="A413" s="9" t="str">
        <f>IF($B413&gt;Trainingsdaten!$H$3,"",MOD(ROW()-4,Trainingsdaten!$H$4)+1)</f>
        <v/>
      </c>
      <c r="B413" s="11" t="str">
        <f>IF(INT((ROW()-4)/Trainingsdaten!$H$4)+1&gt;Trainingsdaten!$H$3,"",INT((ROW()-4)/Trainingsdaten!$H$4)+1)</f>
        <v/>
      </c>
      <c r="C413" s="9" t="str">
        <f>IF(INT((ROW()-4)/Trainingsdaten!$H$4)+1&gt;Trainingsdaten!$H$3,"",MOD(ROW()-4,Trainingsdaten!$H$4)+1)</f>
        <v/>
      </c>
      <c r="D413" s="9" t="str">
        <f>IF($B413&gt;Trainingsdaten!$H$3,"",INDEX(Trainingsdaten!B:B,$C413+1))</f>
        <v/>
      </c>
      <c r="E413" s="7" t="str">
        <f>IF($B413&gt;Trainingsdaten!$H$3,"",INDEX(Trainingsdaten!C:C,$C413+1))</f>
        <v/>
      </c>
      <c r="F413" s="7" t="str">
        <f>IF($B413&gt;Trainingsdaten!$H$3,"",INDEX(Trainingsdaten!D:D,$C413+1))</f>
        <v/>
      </c>
      <c r="G413" s="7" t="str">
        <f>IF($B413&gt;Trainingsdaten!$H$3,"",INDEX(Trainingsdaten!E:E,$C413+1))</f>
        <v/>
      </c>
      <c r="H413" s="11" t="str">
        <f>IF($B413&gt;Trainingsdaten!$H$3,"",Trainingsdaten!$H$2)</f>
        <v/>
      </c>
      <c r="I413" s="7" t="str">
        <f>IF(B413&gt;Trainingsdaten!$H$3,"",I412+H413*N412*E413)</f>
        <v/>
      </c>
      <c r="J413" s="7" t="str">
        <f>IF(B413&gt;Trainingsdaten!$H$3,"",J412+H413*N412*F413)</f>
        <v/>
      </c>
      <c r="K413" s="7" t="str">
        <f>IF(B413&gt;Trainingsdaten!$H$3,"",K412+H413*N412)</f>
        <v/>
      </c>
      <c r="L413" s="7" t="str">
        <f>IF(B413&gt;Trainingsdaten!$H$3,"",E413*I413+F413*J413+K413)</f>
        <v/>
      </c>
      <c r="M413" s="7" t="str">
        <f>IF(B413&gt;Trainingsdaten!$H$3,"",IF(L413&gt;0,1,0))</f>
        <v/>
      </c>
      <c r="N413" s="7" t="str">
        <f>IF(B413&gt;Trainingsdaten!$H$3,"",G413-M413)</f>
        <v/>
      </c>
    </row>
    <row r="414" spans="1:14" x14ac:dyDescent="0.25">
      <c r="A414" s="9" t="str">
        <f>IF($B414&gt;Trainingsdaten!$H$3,"",MOD(ROW()-4,Trainingsdaten!$H$4)+1)</f>
        <v/>
      </c>
      <c r="B414" s="11" t="str">
        <f>IF(INT((ROW()-4)/Trainingsdaten!$H$4)+1&gt;Trainingsdaten!$H$3,"",INT((ROW()-4)/Trainingsdaten!$H$4)+1)</f>
        <v/>
      </c>
      <c r="C414" s="9" t="str">
        <f>IF(INT((ROW()-4)/Trainingsdaten!$H$4)+1&gt;Trainingsdaten!$H$3,"",MOD(ROW()-4,Trainingsdaten!$H$4)+1)</f>
        <v/>
      </c>
      <c r="D414" s="9" t="str">
        <f>IF($B414&gt;Trainingsdaten!$H$3,"",INDEX(Trainingsdaten!B:B,$C414+1))</f>
        <v/>
      </c>
      <c r="E414" s="7" t="str">
        <f>IF($B414&gt;Trainingsdaten!$H$3,"",INDEX(Trainingsdaten!C:C,$C414+1))</f>
        <v/>
      </c>
      <c r="F414" s="7" t="str">
        <f>IF($B414&gt;Trainingsdaten!$H$3,"",INDEX(Trainingsdaten!D:D,$C414+1))</f>
        <v/>
      </c>
      <c r="G414" s="7" t="str">
        <f>IF($B414&gt;Trainingsdaten!$H$3,"",INDEX(Trainingsdaten!E:E,$C414+1))</f>
        <v/>
      </c>
      <c r="H414" s="11" t="str">
        <f>IF($B414&gt;Trainingsdaten!$H$3,"",Trainingsdaten!$H$2)</f>
        <v/>
      </c>
      <c r="I414" s="7" t="str">
        <f>IF(B414&gt;Trainingsdaten!$H$3,"",I413+H414*N413*E414)</f>
        <v/>
      </c>
      <c r="J414" s="7" t="str">
        <f>IF(B414&gt;Trainingsdaten!$H$3,"",J413+H414*N413*F414)</f>
        <v/>
      </c>
      <c r="K414" s="7" t="str">
        <f>IF(B414&gt;Trainingsdaten!$H$3,"",K413+H414*N413)</f>
        <v/>
      </c>
      <c r="L414" s="7" t="str">
        <f>IF(B414&gt;Trainingsdaten!$H$3,"",E414*I414+F414*J414+K414)</f>
        <v/>
      </c>
      <c r="M414" s="7" t="str">
        <f>IF(B414&gt;Trainingsdaten!$H$3,"",IF(L414&gt;0,1,0))</f>
        <v/>
      </c>
      <c r="N414" s="7" t="str">
        <f>IF(B414&gt;Trainingsdaten!$H$3,"",G414-M414)</f>
        <v/>
      </c>
    </row>
    <row r="415" spans="1:14" x14ac:dyDescent="0.25">
      <c r="A415" s="9" t="str">
        <f>IF($B415&gt;Trainingsdaten!$H$3,"",MOD(ROW()-4,Trainingsdaten!$H$4)+1)</f>
        <v/>
      </c>
      <c r="B415" s="11" t="str">
        <f>IF(INT((ROW()-4)/Trainingsdaten!$H$4)+1&gt;Trainingsdaten!$H$3,"",INT((ROW()-4)/Trainingsdaten!$H$4)+1)</f>
        <v/>
      </c>
      <c r="C415" s="9" t="str">
        <f>IF(INT((ROW()-4)/Trainingsdaten!$H$4)+1&gt;Trainingsdaten!$H$3,"",MOD(ROW()-4,Trainingsdaten!$H$4)+1)</f>
        <v/>
      </c>
      <c r="D415" s="9" t="str">
        <f>IF($B415&gt;Trainingsdaten!$H$3,"",INDEX(Trainingsdaten!B:B,$C415+1))</f>
        <v/>
      </c>
      <c r="E415" s="7" t="str">
        <f>IF($B415&gt;Trainingsdaten!$H$3,"",INDEX(Trainingsdaten!C:C,$C415+1))</f>
        <v/>
      </c>
      <c r="F415" s="7" t="str">
        <f>IF($B415&gt;Trainingsdaten!$H$3,"",INDEX(Trainingsdaten!D:D,$C415+1))</f>
        <v/>
      </c>
      <c r="G415" s="7" t="str">
        <f>IF($B415&gt;Trainingsdaten!$H$3,"",INDEX(Trainingsdaten!E:E,$C415+1))</f>
        <v/>
      </c>
      <c r="H415" s="11" t="str">
        <f>IF($B415&gt;Trainingsdaten!$H$3,"",Trainingsdaten!$H$2)</f>
        <v/>
      </c>
      <c r="I415" s="7" t="str">
        <f>IF(B415&gt;Trainingsdaten!$H$3,"",I414+H415*N414*E415)</f>
        <v/>
      </c>
      <c r="J415" s="7" t="str">
        <f>IF(B415&gt;Trainingsdaten!$H$3,"",J414+H415*N414*F415)</f>
        <v/>
      </c>
      <c r="K415" s="7" t="str">
        <f>IF(B415&gt;Trainingsdaten!$H$3,"",K414+H415*N414)</f>
        <v/>
      </c>
      <c r="L415" s="7" t="str">
        <f>IF(B415&gt;Trainingsdaten!$H$3,"",E415*I415+F415*J415+K415)</f>
        <v/>
      </c>
      <c r="M415" s="7" t="str">
        <f>IF(B415&gt;Trainingsdaten!$H$3,"",IF(L415&gt;0,1,0))</f>
        <v/>
      </c>
      <c r="N415" s="7" t="str">
        <f>IF(B415&gt;Trainingsdaten!$H$3,"",G415-M415)</f>
        <v/>
      </c>
    </row>
    <row r="416" spans="1:14" x14ac:dyDescent="0.25">
      <c r="A416" s="9" t="str">
        <f>IF($B416&gt;Trainingsdaten!$H$3,"",MOD(ROW()-4,Trainingsdaten!$H$4)+1)</f>
        <v/>
      </c>
      <c r="B416" s="11" t="str">
        <f>IF(INT((ROW()-4)/Trainingsdaten!$H$4)+1&gt;Trainingsdaten!$H$3,"",INT((ROW()-4)/Trainingsdaten!$H$4)+1)</f>
        <v/>
      </c>
      <c r="C416" s="9" t="str">
        <f>IF(INT((ROW()-4)/Trainingsdaten!$H$4)+1&gt;Trainingsdaten!$H$3,"",MOD(ROW()-4,Trainingsdaten!$H$4)+1)</f>
        <v/>
      </c>
      <c r="D416" s="9" t="str">
        <f>IF($B416&gt;Trainingsdaten!$H$3,"",INDEX(Trainingsdaten!B:B,$C416+1))</f>
        <v/>
      </c>
      <c r="E416" s="7" t="str">
        <f>IF($B416&gt;Trainingsdaten!$H$3,"",INDEX(Trainingsdaten!C:C,$C416+1))</f>
        <v/>
      </c>
      <c r="F416" s="7" t="str">
        <f>IF($B416&gt;Trainingsdaten!$H$3,"",INDEX(Trainingsdaten!D:D,$C416+1))</f>
        <v/>
      </c>
      <c r="G416" s="7" t="str">
        <f>IF($B416&gt;Trainingsdaten!$H$3,"",INDEX(Trainingsdaten!E:E,$C416+1))</f>
        <v/>
      </c>
      <c r="H416" s="11" t="str">
        <f>IF($B416&gt;Trainingsdaten!$H$3,"",Trainingsdaten!$H$2)</f>
        <v/>
      </c>
      <c r="I416" s="7" t="str">
        <f>IF(B416&gt;Trainingsdaten!$H$3,"",I415+H416*N415*E416)</f>
        <v/>
      </c>
      <c r="J416" s="7" t="str">
        <f>IF(B416&gt;Trainingsdaten!$H$3,"",J415+H416*N415*F416)</f>
        <v/>
      </c>
      <c r="K416" s="7" t="str">
        <f>IF(B416&gt;Trainingsdaten!$H$3,"",K415+H416*N415)</f>
        <v/>
      </c>
      <c r="L416" s="7" t="str">
        <f>IF(B416&gt;Trainingsdaten!$H$3,"",E416*I416+F416*J416+K416)</f>
        <v/>
      </c>
      <c r="M416" s="7" t="str">
        <f>IF(B416&gt;Trainingsdaten!$H$3,"",IF(L416&gt;0,1,0))</f>
        <v/>
      </c>
      <c r="N416" s="7" t="str">
        <f>IF(B416&gt;Trainingsdaten!$H$3,"",G416-M416)</f>
        <v/>
      </c>
    </row>
    <row r="417" spans="1:14" x14ac:dyDescent="0.25">
      <c r="A417" s="9" t="str">
        <f>IF($B417&gt;Trainingsdaten!$H$3,"",MOD(ROW()-4,Trainingsdaten!$H$4)+1)</f>
        <v/>
      </c>
      <c r="B417" s="11" t="str">
        <f>IF(INT((ROW()-4)/Trainingsdaten!$H$4)+1&gt;Trainingsdaten!$H$3,"",INT((ROW()-4)/Trainingsdaten!$H$4)+1)</f>
        <v/>
      </c>
      <c r="C417" s="9" t="str">
        <f>IF(INT((ROW()-4)/Trainingsdaten!$H$4)+1&gt;Trainingsdaten!$H$3,"",MOD(ROW()-4,Trainingsdaten!$H$4)+1)</f>
        <v/>
      </c>
      <c r="D417" s="9" t="str">
        <f>IF($B417&gt;Trainingsdaten!$H$3,"",INDEX(Trainingsdaten!B:B,$C417+1))</f>
        <v/>
      </c>
      <c r="E417" s="7" t="str">
        <f>IF($B417&gt;Trainingsdaten!$H$3,"",INDEX(Trainingsdaten!C:C,$C417+1))</f>
        <v/>
      </c>
      <c r="F417" s="7" t="str">
        <f>IF($B417&gt;Trainingsdaten!$H$3,"",INDEX(Trainingsdaten!D:D,$C417+1))</f>
        <v/>
      </c>
      <c r="G417" s="7" t="str">
        <f>IF($B417&gt;Trainingsdaten!$H$3,"",INDEX(Trainingsdaten!E:E,$C417+1))</f>
        <v/>
      </c>
      <c r="H417" s="11" t="str">
        <f>IF($B417&gt;Trainingsdaten!$H$3,"",Trainingsdaten!$H$2)</f>
        <v/>
      </c>
      <c r="I417" s="7" t="str">
        <f>IF(B417&gt;Trainingsdaten!$H$3,"",I416+H417*N416*E417)</f>
        <v/>
      </c>
      <c r="J417" s="7" t="str">
        <f>IF(B417&gt;Trainingsdaten!$H$3,"",J416+H417*N416*F417)</f>
        <v/>
      </c>
      <c r="K417" s="7" t="str">
        <f>IF(B417&gt;Trainingsdaten!$H$3,"",K416+H417*N416)</f>
        <v/>
      </c>
      <c r="L417" s="7" t="str">
        <f>IF(B417&gt;Trainingsdaten!$H$3,"",E417*I417+F417*J417+K417)</f>
        <v/>
      </c>
      <c r="M417" s="7" t="str">
        <f>IF(B417&gt;Trainingsdaten!$H$3,"",IF(L417&gt;0,1,0))</f>
        <v/>
      </c>
      <c r="N417" s="7" t="str">
        <f>IF(B417&gt;Trainingsdaten!$H$3,"",G417-M417)</f>
        <v/>
      </c>
    </row>
    <row r="418" spans="1:14" x14ac:dyDescent="0.25">
      <c r="A418" s="9" t="str">
        <f>IF($B418&gt;Trainingsdaten!$H$3,"",MOD(ROW()-4,Trainingsdaten!$H$4)+1)</f>
        <v/>
      </c>
      <c r="B418" s="11" t="str">
        <f>IF(INT((ROW()-4)/Trainingsdaten!$H$4)+1&gt;Trainingsdaten!$H$3,"",INT((ROW()-4)/Trainingsdaten!$H$4)+1)</f>
        <v/>
      </c>
      <c r="C418" s="9" t="str">
        <f>IF(INT((ROW()-4)/Trainingsdaten!$H$4)+1&gt;Trainingsdaten!$H$3,"",MOD(ROW()-4,Trainingsdaten!$H$4)+1)</f>
        <v/>
      </c>
      <c r="D418" s="9" t="str">
        <f>IF($B418&gt;Trainingsdaten!$H$3,"",INDEX(Trainingsdaten!B:B,$C418+1))</f>
        <v/>
      </c>
      <c r="E418" s="7" t="str">
        <f>IF($B418&gt;Trainingsdaten!$H$3,"",INDEX(Trainingsdaten!C:C,$C418+1))</f>
        <v/>
      </c>
      <c r="F418" s="7" t="str">
        <f>IF($B418&gt;Trainingsdaten!$H$3,"",INDEX(Trainingsdaten!D:D,$C418+1))</f>
        <v/>
      </c>
      <c r="G418" s="7" t="str">
        <f>IF($B418&gt;Trainingsdaten!$H$3,"",INDEX(Trainingsdaten!E:E,$C418+1))</f>
        <v/>
      </c>
      <c r="H418" s="11" t="str">
        <f>IF($B418&gt;Trainingsdaten!$H$3,"",Trainingsdaten!$H$2)</f>
        <v/>
      </c>
      <c r="I418" s="7" t="str">
        <f>IF(B418&gt;Trainingsdaten!$H$3,"",I417+H418*N417*E418)</f>
        <v/>
      </c>
      <c r="J418" s="7" t="str">
        <f>IF(B418&gt;Trainingsdaten!$H$3,"",J417+H418*N417*F418)</f>
        <v/>
      </c>
      <c r="K418" s="7" t="str">
        <f>IF(B418&gt;Trainingsdaten!$H$3,"",K417+H418*N417)</f>
        <v/>
      </c>
      <c r="L418" s="7" t="str">
        <f>IF(B418&gt;Trainingsdaten!$H$3,"",E418*I418+F418*J418+K418)</f>
        <v/>
      </c>
      <c r="M418" s="7" t="str">
        <f>IF(B418&gt;Trainingsdaten!$H$3,"",IF(L418&gt;0,1,0))</f>
        <v/>
      </c>
      <c r="N418" s="7" t="str">
        <f>IF(B418&gt;Trainingsdaten!$H$3,"",G418-M418)</f>
        <v/>
      </c>
    </row>
    <row r="419" spans="1:14" x14ac:dyDescent="0.25">
      <c r="A419" s="9" t="str">
        <f>IF($B419&gt;Trainingsdaten!$H$3,"",MOD(ROW()-4,Trainingsdaten!$H$4)+1)</f>
        <v/>
      </c>
      <c r="B419" s="11" t="str">
        <f>IF(INT((ROW()-4)/Trainingsdaten!$H$4)+1&gt;Trainingsdaten!$H$3,"",INT((ROW()-4)/Trainingsdaten!$H$4)+1)</f>
        <v/>
      </c>
      <c r="C419" s="9" t="str">
        <f>IF(INT((ROW()-4)/Trainingsdaten!$H$4)+1&gt;Trainingsdaten!$H$3,"",MOD(ROW()-4,Trainingsdaten!$H$4)+1)</f>
        <v/>
      </c>
      <c r="D419" s="9" t="str">
        <f>IF($B419&gt;Trainingsdaten!$H$3,"",INDEX(Trainingsdaten!B:B,$C419+1))</f>
        <v/>
      </c>
      <c r="E419" s="7" t="str">
        <f>IF($B419&gt;Trainingsdaten!$H$3,"",INDEX(Trainingsdaten!C:C,$C419+1))</f>
        <v/>
      </c>
      <c r="F419" s="7" t="str">
        <f>IF($B419&gt;Trainingsdaten!$H$3,"",INDEX(Trainingsdaten!D:D,$C419+1))</f>
        <v/>
      </c>
      <c r="G419" s="7" t="str">
        <f>IF($B419&gt;Trainingsdaten!$H$3,"",INDEX(Trainingsdaten!E:E,$C419+1))</f>
        <v/>
      </c>
      <c r="H419" s="11" t="str">
        <f>IF($B419&gt;Trainingsdaten!$H$3,"",Trainingsdaten!$H$2)</f>
        <v/>
      </c>
      <c r="I419" s="7" t="str">
        <f>IF(B419&gt;Trainingsdaten!$H$3,"",I418+H419*N418*E419)</f>
        <v/>
      </c>
      <c r="J419" s="7" t="str">
        <f>IF(B419&gt;Trainingsdaten!$H$3,"",J418+H419*N418*F419)</f>
        <v/>
      </c>
      <c r="K419" s="7" t="str">
        <f>IF(B419&gt;Trainingsdaten!$H$3,"",K418+H419*N418)</f>
        <v/>
      </c>
      <c r="L419" s="7" t="str">
        <f>IF(B419&gt;Trainingsdaten!$H$3,"",E419*I419+F419*J419+K419)</f>
        <v/>
      </c>
      <c r="M419" s="7" t="str">
        <f>IF(B419&gt;Trainingsdaten!$H$3,"",IF(L419&gt;0,1,0))</f>
        <v/>
      </c>
      <c r="N419" s="7" t="str">
        <f>IF(B419&gt;Trainingsdaten!$H$3,"",G419-M419)</f>
        <v/>
      </c>
    </row>
    <row r="420" spans="1:14" x14ac:dyDescent="0.25">
      <c r="A420" s="9" t="str">
        <f>IF($B420&gt;Trainingsdaten!$H$3,"",MOD(ROW()-4,Trainingsdaten!$H$4)+1)</f>
        <v/>
      </c>
      <c r="B420" s="11" t="str">
        <f>IF(INT((ROW()-4)/Trainingsdaten!$H$4)+1&gt;Trainingsdaten!$H$3,"",INT((ROW()-4)/Trainingsdaten!$H$4)+1)</f>
        <v/>
      </c>
      <c r="C420" s="9" t="str">
        <f>IF(INT((ROW()-4)/Trainingsdaten!$H$4)+1&gt;Trainingsdaten!$H$3,"",MOD(ROW()-4,Trainingsdaten!$H$4)+1)</f>
        <v/>
      </c>
      <c r="D420" s="9" t="str">
        <f>IF($B420&gt;Trainingsdaten!$H$3,"",INDEX(Trainingsdaten!B:B,$C420+1))</f>
        <v/>
      </c>
      <c r="E420" s="7" t="str">
        <f>IF($B420&gt;Trainingsdaten!$H$3,"",INDEX(Trainingsdaten!C:C,$C420+1))</f>
        <v/>
      </c>
      <c r="F420" s="7" t="str">
        <f>IF($B420&gt;Trainingsdaten!$H$3,"",INDEX(Trainingsdaten!D:D,$C420+1))</f>
        <v/>
      </c>
      <c r="G420" s="7" t="str">
        <f>IF($B420&gt;Trainingsdaten!$H$3,"",INDEX(Trainingsdaten!E:E,$C420+1))</f>
        <v/>
      </c>
      <c r="H420" s="11" t="str">
        <f>IF($B420&gt;Trainingsdaten!$H$3,"",Trainingsdaten!$H$2)</f>
        <v/>
      </c>
      <c r="I420" s="7" t="str">
        <f>IF(B420&gt;Trainingsdaten!$H$3,"",I419+H420*N419*E420)</f>
        <v/>
      </c>
      <c r="J420" s="7" t="str">
        <f>IF(B420&gt;Trainingsdaten!$H$3,"",J419+H420*N419*F420)</f>
        <v/>
      </c>
      <c r="K420" s="7" t="str">
        <f>IF(B420&gt;Trainingsdaten!$H$3,"",K419+H420*N419)</f>
        <v/>
      </c>
      <c r="L420" s="7" t="str">
        <f>IF(B420&gt;Trainingsdaten!$H$3,"",E420*I420+F420*J420+K420)</f>
        <v/>
      </c>
      <c r="M420" s="7" t="str">
        <f>IF(B420&gt;Trainingsdaten!$H$3,"",IF(L420&gt;0,1,0))</f>
        <v/>
      </c>
      <c r="N420" s="7" t="str">
        <f>IF(B420&gt;Trainingsdaten!$H$3,"",G420-M420)</f>
        <v/>
      </c>
    </row>
    <row r="421" spans="1:14" x14ac:dyDescent="0.25">
      <c r="A421" s="9" t="str">
        <f>IF($B421&gt;Trainingsdaten!$H$3,"",MOD(ROW()-4,Trainingsdaten!$H$4)+1)</f>
        <v/>
      </c>
      <c r="B421" s="11" t="str">
        <f>IF(INT((ROW()-4)/Trainingsdaten!$H$4)+1&gt;Trainingsdaten!$H$3,"",INT((ROW()-4)/Trainingsdaten!$H$4)+1)</f>
        <v/>
      </c>
      <c r="C421" s="9" t="str">
        <f>IF(INT((ROW()-4)/Trainingsdaten!$H$4)+1&gt;Trainingsdaten!$H$3,"",MOD(ROW()-4,Trainingsdaten!$H$4)+1)</f>
        <v/>
      </c>
      <c r="D421" s="9" t="str">
        <f>IF($B421&gt;Trainingsdaten!$H$3,"",INDEX(Trainingsdaten!B:B,$C421+1))</f>
        <v/>
      </c>
      <c r="E421" s="7" t="str">
        <f>IF($B421&gt;Trainingsdaten!$H$3,"",INDEX(Trainingsdaten!C:C,$C421+1))</f>
        <v/>
      </c>
      <c r="F421" s="7" t="str">
        <f>IF($B421&gt;Trainingsdaten!$H$3,"",INDEX(Trainingsdaten!D:D,$C421+1))</f>
        <v/>
      </c>
      <c r="G421" s="7" t="str">
        <f>IF($B421&gt;Trainingsdaten!$H$3,"",INDEX(Trainingsdaten!E:E,$C421+1))</f>
        <v/>
      </c>
      <c r="H421" s="11" t="str">
        <f>IF($B421&gt;Trainingsdaten!$H$3,"",Trainingsdaten!$H$2)</f>
        <v/>
      </c>
      <c r="I421" s="7" t="str">
        <f>IF(B421&gt;Trainingsdaten!$H$3,"",I420+H421*N420*E421)</f>
        <v/>
      </c>
      <c r="J421" s="7" t="str">
        <f>IF(B421&gt;Trainingsdaten!$H$3,"",J420+H421*N420*F421)</f>
        <v/>
      </c>
      <c r="K421" s="7" t="str">
        <f>IF(B421&gt;Trainingsdaten!$H$3,"",K420+H421*N420)</f>
        <v/>
      </c>
      <c r="L421" s="7" t="str">
        <f>IF(B421&gt;Trainingsdaten!$H$3,"",E421*I421+F421*J421+K421)</f>
        <v/>
      </c>
      <c r="M421" s="7" t="str">
        <f>IF(B421&gt;Trainingsdaten!$H$3,"",IF(L421&gt;0,1,0))</f>
        <v/>
      </c>
      <c r="N421" s="7" t="str">
        <f>IF(B421&gt;Trainingsdaten!$H$3,"",G421-M421)</f>
        <v/>
      </c>
    </row>
    <row r="422" spans="1:14" x14ac:dyDescent="0.25">
      <c r="A422" s="9" t="str">
        <f>IF($B422&gt;Trainingsdaten!$H$3,"",MOD(ROW()-4,Trainingsdaten!$H$4)+1)</f>
        <v/>
      </c>
      <c r="B422" s="11" t="str">
        <f>IF(INT((ROW()-4)/Trainingsdaten!$H$4)+1&gt;Trainingsdaten!$H$3,"",INT((ROW()-4)/Trainingsdaten!$H$4)+1)</f>
        <v/>
      </c>
      <c r="C422" s="9" t="str">
        <f>IF(INT((ROW()-4)/Trainingsdaten!$H$4)+1&gt;Trainingsdaten!$H$3,"",MOD(ROW()-4,Trainingsdaten!$H$4)+1)</f>
        <v/>
      </c>
      <c r="D422" s="9" t="str">
        <f>IF($B422&gt;Trainingsdaten!$H$3,"",INDEX(Trainingsdaten!B:B,$C422+1))</f>
        <v/>
      </c>
      <c r="E422" s="7" t="str">
        <f>IF($B422&gt;Trainingsdaten!$H$3,"",INDEX(Trainingsdaten!C:C,$C422+1))</f>
        <v/>
      </c>
      <c r="F422" s="7" t="str">
        <f>IF($B422&gt;Trainingsdaten!$H$3,"",INDEX(Trainingsdaten!D:D,$C422+1))</f>
        <v/>
      </c>
      <c r="G422" s="7" t="str">
        <f>IF($B422&gt;Trainingsdaten!$H$3,"",INDEX(Trainingsdaten!E:E,$C422+1))</f>
        <v/>
      </c>
      <c r="H422" s="11" t="str">
        <f>IF($B422&gt;Trainingsdaten!$H$3,"",Trainingsdaten!$H$2)</f>
        <v/>
      </c>
      <c r="I422" s="7" t="str">
        <f>IF(B422&gt;Trainingsdaten!$H$3,"",I421+H422*N421*E422)</f>
        <v/>
      </c>
      <c r="J422" s="7" t="str">
        <f>IF(B422&gt;Trainingsdaten!$H$3,"",J421+H422*N421*F422)</f>
        <v/>
      </c>
      <c r="K422" s="7" t="str">
        <f>IF(B422&gt;Trainingsdaten!$H$3,"",K421+H422*N421)</f>
        <v/>
      </c>
      <c r="L422" s="7" t="str">
        <f>IF(B422&gt;Trainingsdaten!$H$3,"",E422*I422+F422*J422+K422)</f>
        <v/>
      </c>
      <c r="M422" s="7" t="str">
        <f>IF(B422&gt;Trainingsdaten!$H$3,"",IF(L422&gt;0,1,0))</f>
        <v/>
      </c>
      <c r="N422" s="7" t="str">
        <f>IF(B422&gt;Trainingsdaten!$H$3,"",G422-M422)</f>
        <v/>
      </c>
    </row>
    <row r="423" spans="1:14" x14ac:dyDescent="0.25">
      <c r="A423" s="9" t="str">
        <f>IF($B423&gt;Trainingsdaten!$H$3,"",MOD(ROW()-4,Trainingsdaten!$H$4)+1)</f>
        <v/>
      </c>
      <c r="B423" s="11" t="str">
        <f>IF(INT((ROW()-4)/Trainingsdaten!$H$4)+1&gt;Trainingsdaten!$H$3,"",INT((ROW()-4)/Trainingsdaten!$H$4)+1)</f>
        <v/>
      </c>
      <c r="C423" s="9" t="str">
        <f>IF(INT((ROW()-4)/Trainingsdaten!$H$4)+1&gt;Trainingsdaten!$H$3,"",MOD(ROW()-4,Trainingsdaten!$H$4)+1)</f>
        <v/>
      </c>
      <c r="D423" s="9" t="str">
        <f>IF($B423&gt;Trainingsdaten!$H$3,"",INDEX(Trainingsdaten!B:B,$C423+1))</f>
        <v/>
      </c>
      <c r="E423" s="7" t="str">
        <f>IF($B423&gt;Trainingsdaten!$H$3,"",INDEX(Trainingsdaten!C:C,$C423+1))</f>
        <v/>
      </c>
      <c r="F423" s="7" t="str">
        <f>IF($B423&gt;Trainingsdaten!$H$3,"",INDEX(Trainingsdaten!D:D,$C423+1))</f>
        <v/>
      </c>
      <c r="G423" s="7" t="str">
        <f>IF($B423&gt;Trainingsdaten!$H$3,"",INDEX(Trainingsdaten!E:E,$C423+1))</f>
        <v/>
      </c>
      <c r="H423" s="11" t="str">
        <f>IF($B423&gt;Trainingsdaten!$H$3,"",Trainingsdaten!$H$2)</f>
        <v/>
      </c>
      <c r="I423" s="7" t="str">
        <f>IF(B423&gt;Trainingsdaten!$H$3,"",I422+H423*N422*E423)</f>
        <v/>
      </c>
      <c r="J423" s="7" t="str">
        <f>IF(B423&gt;Trainingsdaten!$H$3,"",J422+H423*N422*F423)</f>
        <v/>
      </c>
      <c r="K423" s="7" t="str">
        <f>IF(B423&gt;Trainingsdaten!$H$3,"",K422+H423*N422)</f>
        <v/>
      </c>
      <c r="L423" s="7" t="str">
        <f>IF(B423&gt;Trainingsdaten!$H$3,"",E423*I423+F423*J423+K423)</f>
        <v/>
      </c>
      <c r="M423" s="7" t="str">
        <f>IF(B423&gt;Trainingsdaten!$H$3,"",IF(L423&gt;0,1,0))</f>
        <v/>
      </c>
      <c r="N423" s="7" t="str">
        <f>IF(B423&gt;Trainingsdaten!$H$3,"",G423-M423)</f>
        <v/>
      </c>
    </row>
    <row r="424" spans="1:14" x14ac:dyDescent="0.25">
      <c r="A424" s="9" t="str">
        <f>IF($B424&gt;Trainingsdaten!$H$3,"",MOD(ROW()-4,Trainingsdaten!$H$4)+1)</f>
        <v/>
      </c>
      <c r="B424" s="11" t="str">
        <f>IF(INT((ROW()-4)/Trainingsdaten!$H$4)+1&gt;Trainingsdaten!$H$3,"",INT((ROW()-4)/Trainingsdaten!$H$4)+1)</f>
        <v/>
      </c>
      <c r="C424" s="9" t="str">
        <f>IF(INT((ROW()-4)/Trainingsdaten!$H$4)+1&gt;Trainingsdaten!$H$3,"",MOD(ROW()-4,Trainingsdaten!$H$4)+1)</f>
        <v/>
      </c>
      <c r="D424" s="9" t="str">
        <f>IF($B424&gt;Trainingsdaten!$H$3,"",INDEX(Trainingsdaten!B:B,$C424+1))</f>
        <v/>
      </c>
      <c r="E424" s="7" t="str">
        <f>IF($B424&gt;Trainingsdaten!$H$3,"",INDEX(Trainingsdaten!C:C,$C424+1))</f>
        <v/>
      </c>
      <c r="F424" s="7" t="str">
        <f>IF($B424&gt;Trainingsdaten!$H$3,"",INDEX(Trainingsdaten!D:D,$C424+1))</f>
        <v/>
      </c>
      <c r="G424" s="7" t="str">
        <f>IF($B424&gt;Trainingsdaten!$H$3,"",INDEX(Trainingsdaten!E:E,$C424+1))</f>
        <v/>
      </c>
      <c r="H424" s="11" t="str">
        <f>IF($B424&gt;Trainingsdaten!$H$3,"",Trainingsdaten!$H$2)</f>
        <v/>
      </c>
      <c r="I424" s="7" t="str">
        <f>IF(B424&gt;Trainingsdaten!$H$3,"",I423+H424*N423*E424)</f>
        <v/>
      </c>
      <c r="J424" s="7" t="str">
        <f>IF(B424&gt;Trainingsdaten!$H$3,"",J423+H424*N423*F424)</f>
        <v/>
      </c>
      <c r="K424" s="7" t="str">
        <f>IF(B424&gt;Trainingsdaten!$H$3,"",K423+H424*N423)</f>
        <v/>
      </c>
      <c r="L424" s="7" t="str">
        <f>IF(B424&gt;Trainingsdaten!$H$3,"",E424*I424+F424*J424+K424)</f>
        <v/>
      </c>
      <c r="M424" s="7" t="str">
        <f>IF(B424&gt;Trainingsdaten!$H$3,"",IF(L424&gt;0,1,0))</f>
        <v/>
      </c>
      <c r="N424" s="7" t="str">
        <f>IF(B424&gt;Trainingsdaten!$H$3,"",G424-M424)</f>
        <v/>
      </c>
    </row>
    <row r="425" spans="1:14" x14ac:dyDescent="0.25">
      <c r="A425" s="9" t="str">
        <f>IF($B425&gt;Trainingsdaten!$H$3,"",MOD(ROW()-4,Trainingsdaten!$H$4)+1)</f>
        <v/>
      </c>
      <c r="B425" s="11" t="str">
        <f>IF(INT((ROW()-4)/Trainingsdaten!$H$4)+1&gt;Trainingsdaten!$H$3,"",INT((ROW()-4)/Trainingsdaten!$H$4)+1)</f>
        <v/>
      </c>
      <c r="C425" s="9" t="str">
        <f>IF(INT((ROW()-4)/Trainingsdaten!$H$4)+1&gt;Trainingsdaten!$H$3,"",MOD(ROW()-4,Trainingsdaten!$H$4)+1)</f>
        <v/>
      </c>
      <c r="D425" s="9" t="str">
        <f>IF($B425&gt;Trainingsdaten!$H$3,"",INDEX(Trainingsdaten!B:B,$C425+1))</f>
        <v/>
      </c>
      <c r="E425" s="7" t="str">
        <f>IF($B425&gt;Trainingsdaten!$H$3,"",INDEX(Trainingsdaten!C:C,$C425+1))</f>
        <v/>
      </c>
      <c r="F425" s="7" t="str">
        <f>IF($B425&gt;Trainingsdaten!$H$3,"",INDEX(Trainingsdaten!D:D,$C425+1))</f>
        <v/>
      </c>
      <c r="G425" s="7" t="str">
        <f>IF($B425&gt;Trainingsdaten!$H$3,"",INDEX(Trainingsdaten!E:E,$C425+1))</f>
        <v/>
      </c>
      <c r="H425" s="11" t="str">
        <f>IF($B425&gt;Trainingsdaten!$H$3,"",Trainingsdaten!$H$2)</f>
        <v/>
      </c>
      <c r="I425" s="7" t="str">
        <f>IF(B425&gt;Trainingsdaten!$H$3,"",I424+H425*N424*E425)</f>
        <v/>
      </c>
      <c r="J425" s="7" t="str">
        <f>IF(B425&gt;Trainingsdaten!$H$3,"",J424+H425*N424*F425)</f>
        <v/>
      </c>
      <c r="K425" s="7" t="str">
        <f>IF(B425&gt;Trainingsdaten!$H$3,"",K424+H425*N424)</f>
        <v/>
      </c>
      <c r="L425" s="7" t="str">
        <f>IF(B425&gt;Trainingsdaten!$H$3,"",E425*I425+F425*J425+K425)</f>
        <v/>
      </c>
      <c r="M425" s="7" t="str">
        <f>IF(B425&gt;Trainingsdaten!$H$3,"",IF(L425&gt;0,1,0))</f>
        <v/>
      </c>
      <c r="N425" s="7" t="str">
        <f>IF(B425&gt;Trainingsdaten!$H$3,"",G425-M425)</f>
        <v/>
      </c>
    </row>
    <row r="426" spans="1:14" x14ac:dyDescent="0.25">
      <c r="A426" s="9" t="str">
        <f>IF($B426&gt;Trainingsdaten!$H$3,"",MOD(ROW()-4,Trainingsdaten!$H$4)+1)</f>
        <v/>
      </c>
      <c r="B426" s="11" t="str">
        <f>IF(INT((ROW()-4)/Trainingsdaten!$H$4)+1&gt;Trainingsdaten!$H$3,"",INT((ROW()-4)/Trainingsdaten!$H$4)+1)</f>
        <v/>
      </c>
      <c r="C426" s="9" t="str">
        <f>IF(INT((ROW()-4)/Trainingsdaten!$H$4)+1&gt;Trainingsdaten!$H$3,"",MOD(ROW()-4,Trainingsdaten!$H$4)+1)</f>
        <v/>
      </c>
      <c r="D426" s="9" t="str">
        <f>IF($B426&gt;Trainingsdaten!$H$3,"",INDEX(Trainingsdaten!B:B,$C426+1))</f>
        <v/>
      </c>
      <c r="E426" s="7" t="str">
        <f>IF($B426&gt;Trainingsdaten!$H$3,"",INDEX(Trainingsdaten!C:C,$C426+1))</f>
        <v/>
      </c>
      <c r="F426" s="7" t="str">
        <f>IF($B426&gt;Trainingsdaten!$H$3,"",INDEX(Trainingsdaten!D:D,$C426+1))</f>
        <v/>
      </c>
      <c r="G426" s="7" t="str">
        <f>IF($B426&gt;Trainingsdaten!$H$3,"",INDEX(Trainingsdaten!E:E,$C426+1))</f>
        <v/>
      </c>
      <c r="H426" s="11" t="str">
        <f>IF($B426&gt;Trainingsdaten!$H$3,"",Trainingsdaten!$H$2)</f>
        <v/>
      </c>
      <c r="I426" s="7" t="str">
        <f>IF(B426&gt;Trainingsdaten!$H$3,"",I425+H426*N425*E426)</f>
        <v/>
      </c>
      <c r="J426" s="7" t="str">
        <f>IF(B426&gt;Trainingsdaten!$H$3,"",J425+H426*N425*F426)</f>
        <v/>
      </c>
      <c r="K426" s="7" t="str">
        <f>IF(B426&gt;Trainingsdaten!$H$3,"",K425+H426*N425)</f>
        <v/>
      </c>
      <c r="L426" s="7" t="str">
        <f>IF(B426&gt;Trainingsdaten!$H$3,"",E426*I426+F426*J426+K426)</f>
        <v/>
      </c>
      <c r="M426" s="7" t="str">
        <f>IF(B426&gt;Trainingsdaten!$H$3,"",IF(L426&gt;0,1,0))</f>
        <v/>
      </c>
      <c r="N426" s="7" t="str">
        <f>IF(B426&gt;Trainingsdaten!$H$3,"",G426-M426)</f>
        <v/>
      </c>
    </row>
    <row r="427" spans="1:14" x14ac:dyDescent="0.25">
      <c r="A427" s="9" t="str">
        <f>IF($B427&gt;Trainingsdaten!$H$3,"",MOD(ROW()-4,Trainingsdaten!$H$4)+1)</f>
        <v/>
      </c>
      <c r="B427" s="11" t="str">
        <f>IF(INT((ROW()-4)/Trainingsdaten!$H$4)+1&gt;Trainingsdaten!$H$3,"",INT((ROW()-4)/Trainingsdaten!$H$4)+1)</f>
        <v/>
      </c>
      <c r="C427" s="9" t="str">
        <f>IF(INT((ROW()-4)/Trainingsdaten!$H$4)+1&gt;Trainingsdaten!$H$3,"",MOD(ROW()-4,Trainingsdaten!$H$4)+1)</f>
        <v/>
      </c>
      <c r="D427" s="9" t="str">
        <f>IF($B427&gt;Trainingsdaten!$H$3,"",INDEX(Trainingsdaten!B:B,$C427+1))</f>
        <v/>
      </c>
      <c r="E427" s="7" t="str">
        <f>IF($B427&gt;Trainingsdaten!$H$3,"",INDEX(Trainingsdaten!C:C,$C427+1))</f>
        <v/>
      </c>
      <c r="F427" s="7" t="str">
        <f>IF($B427&gt;Trainingsdaten!$H$3,"",INDEX(Trainingsdaten!D:D,$C427+1))</f>
        <v/>
      </c>
      <c r="G427" s="7" t="str">
        <f>IF($B427&gt;Trainingsdaten!$H$3,"",INDEX(Trainingsdaten!E:E,$C427+1))</f>
        <v/>
      </c>
      <c r="H427" s="11" t="str">
        <f>IF($B427&gt;Trainingsdaten!$H$3,"",Trainingsdaten!$H$2)</f>
        <v/>
      </c>
      <c r="I427" s="7" t="str">
        <f>IF(B427&gt;Trainingsdaten!$H$3,"",I426+H427*N426*E427)</f>
        <v/>
      </c>
      <c r="J427" s="7" t="str">
        <f>IF(B427&gt;Trainingsdaten!$H$3,"",J426+H427*N426*F427)</f>
        <v/>
      </c>
      <c r="K427" s="7" t="str">
        <f>IF(B427&gt;Trainingsdaten!$H$3,"",K426+H427*N426)</f>
        <v/>
      </c>
      <c r="L427" s="7" t="str">
        <f>IF(B427&gt;Trainingsdaten!$H$3,"",E427*I427+F427*J427+K427)</f>
        <v/>
      </c>
      <c r="M427" s="7" t="str">
        <f>IF(B427&gt;Trainingsdaten!$H$3,"",IF(L427&gt;0,1,0))</f>
        <v/>
      </c>
      <c r="N427" s="7" t="str">
        <f>IF(B427&gt;Trainingsdaten!$H$3,"",G427-M427)</f>
        <v/>
      </c>
    </row>
    <row r="428" spans="1:14" x14ac:dyDescent="0.25">
      <c r="A428" s="9" t="str">
        <f>IF($B428&gt;Trainingsdaten!$H$3,"",MOD(ROW()-4,Trainingsdaten!$H$4)+1)</f>
        <v/>
      </c>
      <c r="B428" s="11" t="str">
        <f>IF(INT((ROW()-4)/Trainingsdaten!$H$4)+1&gt;Trainingsdaten!$H$3,"",INT((ROW()-4)/Trainingsdaten!$H$4)+1)</f>
        <v/>
      </c>
      <c r="C428" s="9" t="str">
        <f>IF(INT((ROW()-4)/Trainingsdaten!$H$4)+1&gt;Trainingsdaten!$H$3,"",MOD(ROW()-4,Trainingsdaten!$H$4)+1)</f>
        <v/>
      </c>
      <c r="D428" s="9" t="str">
        <f>IF($B428&gt;Trainingsdaten!$H$3,"",INDEX(Trainingsdaten!B:B,$C428+1))</f>
        <v/>
      </c>
      <c r="E428" s="7" t="str">
        <f>IF($B428&gt;Trainingsdaten!$H$3,"",INDEX(Trainingsdaten!C:C,$C428+1))</f>
        <v/>
      </c>
      <c r="F428" s="7" t="str">
        <f>IF($B428&gt;Trainingsdaten!$H$3,"",INDEX(Trainingsdaten!D:D,$C428+1))</f>
        <v/>
      </c>
      <c r="G428" s="7" t="str">
        <f>IF($B428&gt;Trainingsdaten!$H$3,"",INDEX(Trainingsdaten!E:E,$C428+1))</f>
        <v/>
      </c>
      <c r="H428" s="11" t="str">
        <f>IF($B428&gt;Trainingsdaten!$H$3,"",Trainingsdaten!$H$2)</f>
        <v/>
      </c>
      <c r="I428" s="7" t="str">
        <f>IF(B428&gt;Trainingsdaten!$H$3,"",I427+H428*N427*E428)</f>
        <v/>
      </c>
      <c r="J428" s="7" t="str">
        <f>IF(B428&gt;Trainingsdaten!$H$3,"",J427+H428*N427*F428)</f>
        <v/>
      </c>
      <c r="K428" s="7" t="str">
        <f>IF(B428&gt;Trainingsdaten!$H$3,"",K427+H428*N427)</f>
        <v/>
      </c>
      <c r="L428" s="7" t="str">
        <f>IF(B428&gt;Trainingsdaten!$H$3,"",E428*I428+F428*J428+K428)</f>
        <v/>
      </c>
      <c r="M428" s="7" t="str">
        <f>IF(B428&gt;Trainingsdaten!$H$3,"",IF(L428&gt;0,1,0))</f>
        <v/>
      </c>
      <c r="N428" s="7" t="str">
        <f>IF(B428&gt;Trainingsdaten!$H$3,"",G428-M428)</f>
        <v/>
      </c>
    </row>
    <row r="429" spans="1:14" x14ac:dyDescent="0.25">
      <c r="A429" s="9" t="str">
        <f>IF($B429&gt;Trainingsdaten!$H$3,"",MOD(ROW()-4,Trainingsdaten!$H$4)+1)</f>
        <v/>
      </c>
      <c r="B429" s="11" t="str">
        <f>IF(INT((ROW()-4)/Trainingsdaten!$H$4)+1&gt;Trainingsdaten!$H$3,"",INT((ROW()-4)/Trainingsdaten!$H$4)+1)</f>
        <v/>
      </c>
      <c r="C429" s="9" t="str">
        <f>IF(INT((ROW()-4)/Trainingsdaten!$H$4)+1&gt;Trainingsdaten!$H$3,"",MOD(ROW()-4,Trainingsdaten!$H$4)+1)</f>
        <v/>
      </c>
      <c r="D429" s="9" t="str">
        <f>IF($B429&gt;Trainingsdaten!$H$3,"",INDEX(Trainingsdaten!B:B,$C429+1))</f>
        <v/>
      </c>
      <c r="E429" s="7" t="str">
        <f>IF($B429&gt;Trainingsdaten!$H$3,"",INDEX(Trainingsdaten!C:C,$C429+1))</f>
        <v/>
      </c>
      <c r="F429" s="7" t="str">
        <f>IF($B429&gt;Trainingsdaten!$H$3,"",INDEX(Trainingsdaten!D:D,$C429+1))</f>
        <v/>
      </c>
      <c r="G429" s="7" t="str">
        <f>IF($B429&gt;Trainingsdaten!$H$3,"",INDEX(Trainingsdaten!E:E,$C429+1))</f>
        <v/>
      </c>
      <c r="H429" s="11" t="str">
        <f>IF($B429&gt;Trainingsdaten!$H$3,"",Trainingsdaten!$H$2)</f>
        <v/>
      </c>
      <c r="I429" s="7" t="str">
        <f>IF(B429&gt;Trainingsdaten!$H$3,"",I428+H429*N428*E429)</f>
        <v/>
      </c>
      <c r="J429" s="7" t="str">
        <f>IF(B429&gt;Trainingsdaten!$H$3,"",J428+H429*N428*F429)</f>
        <v/>
      </c>
      <c r="K429" s="7" t="str">
        <f>IF(B429&gt;Trainingsdaten!$H$3,"",K428+H429*N428)</f>
        <v/>
      </c>
      <c r="L429" s="7" t="str">
        <f>IF(B429&gt;Trainingsdaten!$H$3,"",E429*I429+F429*J429+K429)</f>
        <v/>
      </c>
      <c r="M429" s="7" t="str">
        <f>IF(B429&gt;Trainingsdaten!$H$3,"",IF(L429&gt;0,1,0))</f>
        <v/>
      </c>
      <c r="N429" s="7" t="str">
        <f>IF(B429&gt;Trainingsdaten!$H$3,"",G429-M429)</f>
        <v/>
      </c>
    </row>
    <row r="430" spans="1:14" x14ac:dyDescent="0.25">
      <c r="A430" s="9" t="str">
        <f>IF($B430&gt;Trainingsdaten!$H$3,"",MOD(ROW()-4,Trainingsdaten!$H$4)+1)</f>
        <v/>
      </c>
      <c r="B430" s="11" t="str">
        <f>IF(INT((ROW()-4)/Trainingsdaten!$H$4)+1&gt;Trainingsdaten!$H$3,"",INT((ROW()-4)/Trainingsdaten!$H$4)+1)</f>
        <v/>
      </c>
      <c r="C430" s="9" t="str">
        <f>IF(INT((ROW()-4)/Trainingsdaten!$H$4)+1&gt;Trainingsdaten!$H$3,"",MOD(ROW()-4,Trainingsdaten!$H$4)+1)</f>
        <v/>
      </c>
      <c r="D430" s="9" t="str">
        <f>IF($B430&gt;Trainingsdaten!$H$3,"",INDEX(Trainingsdaten!B:B,$C430+1))</f>
        <v/>
      </c>
      <c r="E430" s="7" t="str">
        <f>IF($B430&gt;Trainingsdaten!$H$3,"",INDEX(Trainingsdaten!C:C,$C430+1))</f>
        <v/>
      </c>
      <c r="F430" s="7" t="str">
        <f>IF($B430&gt;Trainingsdaten!$H$3,"",INDEX(Trainingsdaten!D:D,$C430+1))</f>
        <v/>
      </c>
      <c r="G430" s="7" t="str">
        <f>IF($B430&gt;Trainingsdaten!$H$3,"",INDEX(Trainingsdaten!E:E,$C430+1))</f>
        <v/>
      </c>
      <c r="H430" s="11" t="str">
        <f>IF($B430&gt;Trainingsdaten!$H$3,"",Trainingsdaten!$H$2)</f>
        <v/>
      </c>
      <c r="I430" s="7" t="str">
        <f>IF(B430&gt;Trainingsdaten!$H$3,"",I429+H430*N429*E430)</f>
        <v/>
      </c>
      <c r="J430" s="7" t="str">
        <f>IF(B430&gt;Trainingsdaten!$H$3,"",J429+H430*N429*F430)</f>
        <v/>
      </c>
      <c r="K430" s="7" t="str">
        <f>IF(B430&gt;Trainingsdaten!$H$3,"",K429+H430*N429)</f>
        <v/>
      </c>
      <c r="L430" s="7" t="str">
        <f>IF(B430&gt;Trainingsdaten!$H$3,"",E430*I430+F430*J430+K430)</f>
        <v/>
      </c>
      <c r="M430" s="7" t="str">
        <f>IF(B430&gt;Trainingsdaten!$H$3,"",IF(L430&gt;0,1,0))</f>
        <v/>
      </c>
      <c r="N430" s="7" t="str">
        <f>IF(B430&gt;Trainingsdaten!$H$3,"",G430-M430)</f>
        <v/>
      </c>
    </row>
    <row r="431" spans="1:14" x14ac:dyDescent="0.25">
      <c r="A431" s="9" t="str">
        <f>IF($B431&gt;Trainingsdaten!$H$3,"",MOD(ROW()-4,Trainingsdaten!$H$4)+1)</f>
        <v/>
      </c>
      <c r="B431" s="11" t="str">
        <f>IF(INT((ROW()-4)/Trainingsdaten!$H$4)+1&gt;Trainingsdaten!$H$3,"",INT((ROW()-4)/Trainingsdaten!$H$4)+1)</f>
        <v/>
      </c>
      <c r="C431" s="9" t="str">
        <f>IF(INT((ROW()-4)/Trainingsdaten!$H$4)+1&gt;Trainingsdaten!$H$3,"",MOD(ROW()-4,Trainingsdaten!$H$4)+1)</f>
        <v/>
      </c>
      <c r="D431" s="9" t="str">
        <f>IF($B431&gt;Trainingsdaten!$H$3,"",INDEX(Trainingsdaten!B:B,$C431+1))</f>
        <v/>
      </c>
      <c r="E431" s="7" t="str">
        <f>IF($B431&gt;Trainingsdaten!$H$3,"",INDEX(Trainingsdaten!C:C,$C431+1))</f>
        <v/>
      </c>
      <c r="F431" s="7" t="str">
        <f>IF($B431&gt;Trainingsdaten!$H$3,"",INDEX(Trainingsdaten!D:D,$C431+1))</f>
        <v/>
      </c>
      <c r="G431" s="7" t="str">
        <f>IF($B431&gt;Trainingsdaten!$H$3,"",INDEX(Trainingsdaten!E:E,$C431+1))</f>
        <v/>
      </c>
      <c r="H431" s="11" t="str">
        <f>IF($B431&gt;Trainingsdaten!$H$3,"",Trainingsdaten!$H$2)</f>
        <v/>
      </c>
      <c r="I431" s="7" t="str">
        <f>IF(B431&gt;Trainingsdaten!$H$3,"",I430+H431*N430*E431)</f>
        <v/>
      </c>
      <c r="J431" s="7" t="str">
        <f>IF(B431&gt;Trainingsdaten!$H$3,"",J430+H431*N430*F431)</f>
        <v/>
      </c>
      <c r="K431" s="7" t="str">
        <f>IF(B431&gt;Trainingsdaten!$H$3,"",K430+H431*N430)</f>
        <v/>
      </c>
      <c r="L431" s="7" t="str">
        <f>IF(B431&gt;Trainingsdaten!$H$3,"",E431*I431+F431*J431+K431)</f>
        <v/>
      </c>
      <c r="M431" s="7" t="str">
        <f>IF(B431&gt;Trainingsdaten!$H$3,"",IF(L431&gt;0,1,0))</f>
        <v/>
      </c>
      <c r="N431" s="7" t="str">
        <f>IF(B431&gt;Trainingsdaten!$H$3,"",G431-M431)</f>
        <v/>
      </c>
    </row>
    <row r="432" spans="1:14" x14ac:dyDescent="0.25">
      <c r="A432" s="9" t="str">
        <f>IF($B432&gt;Trainingsdaten!$H$3,"",MOD(ROW()-4,Trainingsdaten!$H$4)+1)</f>
        <v/>
      </c>
      <c r="B432" s="11" t="str">
        <f>IF(INT((ROW()-4)/Trainingsdaten!$H$4)+1&gt;Trainingsdaten!$H$3,"",INT((ROW()-4)/Trainingsdaten!$H$4)+1)</f>
        <v/>
      </c>
      <c r="C432" s="9" t="str">
        <f>IF(INT((ROW()-4)/Trainingsdaten!$H$4)+1&gt;Trainingsdaten!$H$3,"",MOD(ROW()-4,Trainingsdaten!$H$4)+1)</f>
        <v/>
      </c>
      <c r="D432" s="9" t="str">
        <f>IF($B432&gt;Trainingsdaten!$H$3,"",INDEX(Trainingsdaten!B:B,$C432+1))</f>
        <v/>
      </c>
      <c r="E432" s="7" t="str">
        <f>IF($B432&gt;Trainingsdaten!$H$3,"",INDEX(Trainingsdaten!C:C,$C432+1))</f>
        <v/>
      </c>
      <c r="F432" s="7" t="str">
        <f>IF($B432&gt;Trainingsdaten!$H$3,"",INDEX(Trainingsdaten!D:D,$C432+1))</f>
        <v/>
      </c>
      <c r="G432" s="7" t="str">
        <f>IF($B432&gt;Trainingsdaten!$H$3,"",INDEX(Trainingsdaten!E:E,$C432+1))</f>
        <v/>
      </c>
      <c r="H432" s="11" t="str">
        <f>IF($B432&gt;Trainingsdaten!$H$3,"",Trainingsdaten!$H$2)</f>
        <v/>
      </c>
      <c r="I432" s="7" t="str">
        <f>IF(B432&gt;Trainingsdaten!$H$3,"",I431+H432*N431*E432)</f>
        <v/>
      </c>
      <c r="J432" s="7" t="str">
        <f>IF(B432&gt;Trainingsdaten!$H$3,"",J431+H432*N431*F432)</f>
        <v/>
      </c>
      <c r="K432" s="7" t="str">
        <f>IF(B432&gt;Trainingsdaten!$H$3,"",K431+H432*N431)</f>
        <v/>
      </c>
      <c r="L432" s="7" t="str">
        <f>IF(B432&gt;Trainingsdaten!$H$3,"",E432*I432+F432*J432+K432)</f>
        <v/>
      </c>
      <c r="M432" s="7" t="str">
        <f>IF(B432&gt;Trainingsdaten!$H$3,"",IF(L432&gt;0,1,0))</f>
        <v/>
      </c>
      <c r="N432" s="7" t="str">
        <f>IF(B432&gt;Trainingsdaten!$H$3,"",G432-M432)</f>
        <v/>
      </c>
    </row>
    <row r="433" spans="1:14" x14ac:dyDescent="0.25">
      <c r="A433" s="9" t="str">
        <f>IF($B433&gt;Trainingsdaten!$H$3,"",MOD(ROW()-4,Trainingsdaten!$H$4)+1)</f>
        <v/>
      </c>
      <c r="B433" s="11" t="str">
        <f>IF(INT((ROW()-4)/Trainingsdaten!$H$4)+1&gt;Trainingsdaten!$H$3,"",INT((ROW()-4)/Trainingsdaten!$H$4)+1)</f>
        <v/>
      </c>
      <c r="C433" s="9" t="str">
        <f>IF(INT((ROW()-4)/Trainingsdaten!$H$4)+1&gt;Trainingsdaten!$H$3,"",MOD(ROW()-4,Trainingsdaten!$H$4)+1)</f>
        <v/>
      </c>
      <c r="D433" s="9" t="str">
        <f>IF($B433&gt;Trainingsdaten!$H$3,"",INDEX(Trainingsdaten!B:B,$C433+1))</f>
        <v/>
      </c>
      <c r="E433" s="7" t="str">
        <f>IF($B433&gt;Trainingsdaten!$H$3,"",INDEX(Trainingsdaten!C:C,$C433+1))</f>
        <v/>
      </c>
      <c r="F433" s="7" t="str">
        <f>IF($B433&gt;Trainingsdaten!$H$3,"",INDEX(Trainingsdaten!D:D,$C433+1))</f>
        <v/>
      </c>
      <c r="G433" s="7" t="str">
        <f>IF($B433&gt;Trainingsdaten!$H$3,"",INDEX(Trainingsdaten!E:E,$C433+1))</f>
        <v/>
      </c>
      <c r="H433" s="11" t="str">
        <f>IF($B433&gt;Trainingsdaten!$H$3,"",Trainingsdaten!$H$2)</f>
        <v/>
      </c>
      <c r="I433" s="7" t="str">
        <f>IF(B433&gt;Trainingsdaten!$H$3,"",I432+H433*N432*E433)</f>
        <v/>
      </c>
      <c r="J433" s="7" t="str">
        <f>IF(B433&gt;Trainingsdaten!$H$3,"",J432+H433*N432*F433)</f>
        <v/>
      </c>
      <c r="K433" s="7" t="str">
        <f>IF(B433&gt;Trainingsdaten!$H$3,"",K432+H433*N432)</f>
        <v/>
      </c>
      <c r="L433" s="7" t="str">
        <f>IF(B433&gt;Trainingsdaten!$H$3,"",E433*I433+F433*J433+K433)</f>
        <v/>
      </c>
      <c r="M433" s="7" t="str">
        <f>IF(B433&gt;Trainingsdaten!$H$3,"",IF(L433&gt;0,1,0))</f>
        <v/>
      </c>
      <c r="N433" s="7" t="str">
        <f>IF(B433&gt;Trainingsdaten!$H$3,"",G433-M433)</f>
        <v/>
      </c>
    </row>
    <row r="434" spans="1:14" x14ac:dyDescent="0.25">
      <c r="A434" s="9" t="str">
        <f>IF($B434&gt;Trainingsdaten!$H$3,"",MOD(ROW()-4,Trainingsdaten!$H$4)+1)</f>
        <v/>
      </c>
      <c r="B434" s="11" t="str">
        <f>IF(INT((ROW()-4)/Trainingsdaten!$H$4)+1&gt;Trainingsdaten!$H$3,"",INT((ROW()-4)/Trainingsdaten!$H$4)+1)</f>
        <v/>
      </c>
      <c r="C434" s="9" t="str">
        <f>IF(INT((ROW()-4)/Trainingsdaten!$H$4)+1&gt;Trainingsdaten!$H$3,"",MOD(ROW()-4,Trainingsdaten!$H$4)+1)</f>
        <v/>
      </c>
      <c r="D434" s="9" t="str">
        <f>IF($B434&gt;Trainingsdaten!$H$3,"",INDEX(Trainingsdaten!B:B,$C434+1))</f>
        <v/>
      </c>
      <c r="E434" s="7" t="str">
        <f>IF($B434&gt;Trainingsdaten!$H$3,"",INDEX(Trainingsdaten!C:C,$C434+1))</f>
        <v/>
      </c>
      <c r="F434" s="7" t="str">
        <f>IF($B434&gt;Trainingsdaten!$H$3,"",INDEX(Trainingsdaten!D:D,$C434+1))</f>
        <v/>
      </c>
      <c r="G434" s="7" t="str">
        <f>IF($B434&gt;Trainingsdaten!$H$3,"",INDEX(Trainingsdaten!E:E,$C434+1))</f>
        <v/>
      </c>
      <c r="H434" s="11" t="str">
        <f>IF($B434&gt;Trainingsdaten!$H$3,"",Trainingsdaten!$H$2)</f>
        <v/>
      </c>
      <c r="I434" s="7" t="str">
        <f>IF(B434&gt;Trainingsdaten!$H$3,"",I433+H434*N433*E434)</f>
        <v/>
      </c>
      <c r="J434" s="7" t="str">
        <f>IF(B434&gt;Trainingsdaten!$H$3,"",J433+H434*N433*F434)</f>
        <v/>
      </c>
      <c r="K434" s="7" t="str">
        <f>IF(B434&gt;Trainingsdaten!$H$3,"",K433+H434*N433)</f>
        <v/>
      </c>
      <c r="L434" s="7" t="str">
        <f>IF(B434&gt;Trainingsdaten!$H$3,"",E434*I434+F434*J434+K434)</f>
        <v/>
      </c>
      <c r="M434" s="7" t="str">
        <f>IF(B434&gt;Trainingsdaten!$H$3,"",IF(L434&gt;0,1,0))</f>
        <v/>
      </c>
      <c r="N434" s="7" t="str">
        <f>IF(B434&gt;Trainingsdaten!$H$3,"",G434-M434)</f>
        <v/>
      </c>
    </row>
    <row r="435" spans="1:14" x14ac:dyDescent="0.25">
      <c r="A435" s="9" t="str">
        <f>IF($B435&gt;Trainingsdaten!$H$3,"",MOD(ROW()-4,Trainingsdaten!$H$4)+1)</f>
        <v/>
      </c>
      <c r="B435" s="11" t="str">
        <f>IF(INT((ROW()-4)/Trainingsdaten!$H$4)+1&gt;Trainingsdaten!$H$3,"",INT((ROW()-4)/Trainingsdaten!$H$4)+1)</f>
        <v/>
      </c>
      <c r="C435" s="9" t="str">
        <f>IF(INT((ROW()-4)/Trainingsdaten!$H$4)+1&gt;Trainingsdaten!$H$3,"",MOD(ROW()-4,Trainingsdaten!$H$4)+1)</f>
        <v/>
      </c>
      <c r="D435" s="9" t="str">
        <f>IF($B435&gt;Trainingsdaten!$H$3,"",INDEX(Trainingsdaten!B:B,$C435+1))</f>
        <v/>
      </c>
      <c r="E435" s="7" t="str">
        <f>IF($B435&gt;Trainingsdaten!$H$3,"",INDEX(Trainingsdaten!C:C,$C435+1))</f>
        <v/>
      </c>
      <c r="F435" s="7" t="str">
        <f>IF($B435&gt;Trainingsdaten!$H$3,"",INDEX(Trainingsdaten!D:D,$C435+1))</f>
        <v/>
      </c>
      <c r="G435" s="7" t="str">
        <f>IF($B435&gt;Trainingsdaten!$H$3,"",INDEX(Trainingsdaten!E:E,$C435+1))</f>
        <v/>
      </c>
      <c r="H435" s="11" t="str">
        <f>IF($B435&gt;Trainingsdaten!$H$3,"",Trainingsdaten!$H$2)</f>
        <v/>
      </c>
      <c r="I435" s="7" t="str">
        <f>IF(B435&gt;Trainingsdaten!$H$3,"",I434+H435*N434*E435)</f>
        <v/>
      </c>
      <c r="J435" s="7" t="str">
        <f>IF(B435&gt;Trainingsdaten!$H$3,"",J434+H435*N434*F435)</f>
        <v/>
      </c>
      <c r="K435" s="7" t="str">
        <f>IF(B435&gt;Trainingsdaten!$H$3,"",K434+H435*N434)</f>
        <v/>
      </c>
      <c r="L435" s="7" t="str">
        <f>IF(B435&gt;Trainingsdaten!$H$3,"",E435*I435+F435*J435+K435)</f>
        <v/>
      </c>
      <c r="M435" s="7" t="str">
        <f>IF(B435&gt;Trainingsdaten!$H$3,"",IF(L435&gt;0,1,0))</f>
        <v/>
      </c>
      <c r="N435" s="7" t="str">
        <f>IF(B435&gt;Trainingsdaten!$H$3,"",G435-M435)</f>
        <v/>
      </c>
    </row>
    <row r="436" spans="1:14" x14ac:dyDescent="0.25">
      <c r="A436" s="9" t="str">
        <f>IF($B436&gt;Trainingsdaten!$H$3,"",MOD(ROW()-4,Trainingsdaten!$H$4)+1)</f>
        <v/>
      </c>
      <c r="B436" s="11" t="str">
        <f>IF(INT((ROW()-4)/Trainingsdaten!$H$4)+1&gt;Trainingsdaten!$H$3,"",INT((ROW()-4)/Trainingsdaten!$H$4)+1)</f>
        <v/>
      </c>
      <c r="C436" s="9" t="str">
        <f>IF(INT((ROW()-4)/Trainingsdaten!$H$4)+1&gt;Trainingsdaten!$H$3,"",MOD(ROW()-4,Trainingsdaten!$H$4)+1)</f>
        <v/>
      </c>
      <c r="D436" s="9" t="str">
        <f>IF($B436&gt;Trainingsdaten!$H$3,"",INDEX(Trainingsdaten!B:B,$C436+1))</f>
        <v/>
      </c>
      <c r="E436" s="7" t="str">
        <f>IF($B436&gt;Trainingsdaten!$H$3,"",INDEX(Trainingsdaten!C:C,$C436+1))</f>
        <v/>
      </c>
      <c r="F436" s="7" t="str">
        <f>IF($B436&gt;Trainingsdaten!$H$3,"",INDEX(Trainingsdaten!D:D,$C436+1))</f>
        <v/>
      </c>
      <c r="G436" s="7" t="str">
        <f>IF($B436&gt;Trainingsdaten!$H$3,"",INDEX(Trainingsdaten!E:E,$C436+1))</f>
        <v/>
      </c>
      <c r="H436" s="11" t="str">
        <f>IF($B436&gt;Trainingsdaten!$H$3,"",Trainingsdaten!$H$2)</f>
        <v/>
      </c>
      <c r="I436" s="7" t="str">
        <f>IF(B436&gt;Trainingsdaten!$H$3,"",I435+H436*N435*E436)</f>
        <v/>
      </c>
      <c r="J436" s="7" t="str">
        <f>IF(B436&gt;Trainingsdaten!$H$3,"",J435+H436*N435*F436)</f>
        <v/>
      </c>
      <c r="K436" s="7" t="str">
        <f>IF(B436&gt;Trainingsdaten!$H$3,"",K435+H436*N435)</f>
        <v/>
      </c>
      <c r="L436" s="7" t="str">
        <f>IF(B436&gt;Trainingsdaten!$H$3,"",E436*I436+F436*J436+K436)</f>
        <v/>
      </c>
      <c r="M436" s="7" t="str">
        <f>IF(B436&gt;Trainingsdaten!$H$3,"",IF(L436&gt;0,1,0))</f>
        <v/>
      </c>
      <c r="N436" s="7" t="str">
        <f>IF(B436&gt;Trainingsdaten!$H$3,"",G436-M436)</f>
        <v/>
      </c>
    </row>
    <row r="437" spans="1:14" x14ac:dyDescent="0.25">
      <c r="A437" s="9" t="str">
        <f>IF($B437&gt;Trainingsdaten!$H$3,"",MOD(ROW()-4,Trainingsdaten!$H$4)+1)</f>
        <v/>
      </c>
      <c r="B437" s="11" t="str">
        <f>IF(INT((ROW()-4)/Trainingsdaten!$H$4)+1&gt;Trainingsdaten!$H$3,"",INT((ROW()-4)/Trainingsdaten!$H$4)+1)</f>
        <v/>
      </c>
      <c r="C437" s="9" t="str">
        <f>IF(INT((ROW()-4)/Trainingsdaten!$H$4)+1&gt;Trainingsdaten!$H$3,"",MOD(ROW()-4,Trainingsdaten!$H$4)+1)</f>
        <v/>
      </c>
      <c r="D437" s="9" t="str">
        <f>IF($B437&gt;Trainingsdaten!$H$3,"",INDEX(Trainingsdaten!B:B,$C437+1))</f>
        <v/>
      </c>
      <c r="E437" s="7" t="str">
        <f>IF($B437&gt;Trainingsdaten!$H$3,"",INDEX(Trainingsdaten!C:C,$C437+1))</f>
        <v/>
      </c>
      <c r="F437" s="7" t="str">
        <f>IF($B437&gt;Trainingsdaten!$H$3,"",INDEX(Trainingsdaten!D:D,$C437+1))</f>
        <v/>
      </c>
      <c r="G437" s="7" t="str">
        <f>IF($B437&gt;Trainingsdaten!$H$3,"",INDEX(Trainingsdaten!E:E,$C437+1))</f>
        <v/>
      </c>
      <c r="H437" s="11" t="str">
        <f>IF($B437&gt;Trainingsdaten!$H$3,"",Trainingsdaten!$H$2)</f>
        <v/>
      </c>
      <c r="I437" s="7" t="str">
        <f>IF(B437&gt;Trainingsdaten!$H$3,"",I436+H437*N436*E437)</f>
        <v/>
      </c>
      <c r="J437" s="7" t="str">
        <f>IF(B437&gt;Trainingsdaten!$H$3,"",J436+H437*N436*F437)</f>
        <v/>
      </c>
      <c r="K437" s="7" t="str">
        <f>IF(B437&gt;Trainingsdaten!$H$3,"",K436+H437*N436)</f>
        <v/>
      </c>
      <c r="L437" s="7" t="str">
        <f>IF(B437&gt;Trainingsdaten!$H$3,"",E437*I437+F437*J437+K437)</f>
        <v/>
      </c>
      <c r="M437" s="7" t="str">
        <f>IF(B437&gt;Trainingsdaten!$H$3,"",IF(L437&gt;0,1,0))</f>
        <v/>
      </c>
      <c r="N437" s="7" t="str">
        <f>IF(B437&gt;Trainingsdaten!$H$3,"",G437-M437)</f>
        <v/>
      </c>
    </row>
    <row r="438" spans="1:14" x14ac:dyDescent="0.25">
      <c r="A438" s="9" t="str">
        <f>IF($B438&gt;Trainingsdaten!$H$3,"",MOD(ROW()-4,Trainingsdaten!$H$4)+1)</f>
        <v/>
      </c>
      <c r="B438" s="11" t="str">
        <f>IF(INT((ROW()-4)/Trainingsdaten!$H$4)+1&gt;Trainingsdaten!$H$3,"",INT((ROW()-4)/Trainingsdaten!$H$4)+1)</f>
        <v/>
      </c>
      <c r="C438" s="9" t="str">
        <f>IF(INT((ROW()-4)/Trainingsdaten!$H$4)+1&gt;Trainingsdaten!$H$3,"",MOD(ROW()-4,Trainingsdaten!$H$4)+1)</f>
        <v/>
      </c>
      <c r="D438" s="9" t="str">
        <f>IF($B438&gt;Trainingsdaten!$H$3,"",INDEX(Trainingsdaten!B:B,$C438+1))</f>
        <v/>
      </c>
      <c r="E438" s="7" t="str">
        <f>IF($B438&gt;Trainingsdaten!$H$3,"",INDEX(Trainingsdaten!C:C,$C438+1))</f>
        <v/>
      </c>
      <c r="F438" s="7" t="str">
        <f>IF($B438&gt;Trainingsdaten!$H$3,"",INDEX(Trainingsdaten!D:D,$C438+1))</f>
        <v/>
      </c>
      <c r="G438" s="7" t="str">
        <f>IF($B438&gt;Trainingsdaten!$H$3,"",INDEX(Trainingsdaten!E:E,$C438+1))</f>
        <v/>
      </c>
      <c r="H438" s="11" t="str">
        <f>IF($B438&gt;Trainingsdaten!$H$3,"",Trainingsdaten!$H$2)</f>
        <v/>
      </c>
      <c r="I438" s="7" t="str">
        <f>IF(B438&gt;Trainingsdaten!$H$3,"",I437+H438*N437*E438)</f>
        <v/>
      </c>
      <c r="J438" s="7" t="str">
        <f>IF(B438&gt;Trainingsdaten!$H$3,"",J437+H438*N437*F438)</f>
        <v/>
      </c>
      <c r="K438" s="7" t="str">
        <f>IF(B438&gt;Trainingsdaten!$H$3,"",K437+H438*N437)</f>
        <v/>
      </c>
      <c r="L438" s="7" t="str">
        <f>IF(B438&gt;Trainingsdaten!$H$3,"",E438*I438+F438*J438+K438)</f>
        <v/>
      </c>
      <c r="M438" s="7" t="str">
        <f>IF(B438&gt;Trainingsdaten!$H$3,"",IF(L438&gt;0,1,0))</f>
        <v/>
      </c>
      <c r="N438" s="7" t="str">
        <f>IF(B438&gt;Trainingsdaten!$H$3,"",G438-M438)</f>
        <v/>
      </c>
    </row>
    <row r="439" spans="1:14" x14ac:dyDescent="0.25">
      <c r="A439" s="9" t="str">
        <f>IF($B439&gt;Trainingsdaten!$H$3,"",MOD(ROW()-4,Trainingsdaten!$H$4)+1)</f>
        <v/>
      </c>
      <c r="B439" s="11" t="str">
        <f>IF(INT((ROW()-4)/Trainingsdaten!$H$4)+1&gt;Trainingsdaten!$H$3,"",INT((ROW()-4)/Trainingsdaten!$H$4)+1)</f>
        <v/>
      </c>
      <c r="C439" s="9" t="str">
        <f>IF(INT((ROW()-4)/Trainingsdaten!$H$4)+1&gt;Trainingsdaten!$H$3,"",MOD(ROW()-4,Trainingsdaten!$H$4)+1)</f>
        <v/>
      </c>
      <c r="D439" s="9" t="str">
        <f>IF($B439&gt;Trainingsdaten!$H$3,"",INDEX(Trainingsdaten!B:B,$C439+1))</f>
        <v/>
      </c>
      <c r="E439" s="7" t="str">
        <f>IF($B439&gt;Trainingsdaten!$H$3,"",INDEX(Trainingsdaten!C:C,$C439+1))</f>
        <v/>
      </c>
      <c r="F439" s="7" t="str">
        <f>IF($B439&gt;Trainingsdaten!$H$3,"",INDEX(Trainingsdaten!D:D,$C439+1))</f>
        <v/>
      </c>
      <c r="G439" s="7" t="str">
        <f>IF($B439&gt;Trainingsdaten!$H$3,"",INDEX(Trainingsdaten!E:E,$C439+1))</f>
        <v/>
      </c>
      <c r="H439" s="11" t="str">
        <f>IF($B439&gt;Trainingsdaten!$H$3,"",Trainingsdaten!$H$2)</f>
        <v/>
      </c>
      <c r="I439" s="7" t="str">
        <f>IF(B439&gt;Trainingsdaten!$H$3,"",I438+H439*N438*E439)</f>
        <v/>
      </c>
      <c r="J439" s="7" t="str">
        <f>IF(B439&gt;Trainingsdaten!$H$3,"",J438+H439*N438*F439)</f>
        <v/>
      </c>
      <c r="K439" s="7" t="str">
        <f>IF(B439&gt;Trainingsdaten!$H$3,"",K438+H439*N438)</f>
        <v/>
      </c>
      <c r="L439" s="7" t="str">
        <f>IF(B439&gt;Trainingsdaten!$H$3,"",E439*I439+F439*J439+K439)</f>
        <v/>
      </c>
      <c r="M439" s="7" t="str">
        <f>IF(B439&gt;Trainingsdaten!$H$3,"",IF(L439&gt;0,1,0))</f>
        <v/>
      </c>
      <c r="N439" s="7" t="str">
        <f>IF(B439&gt;Trainingsdaten!$H$3,"",G439-M439)</f>
        <v/>
      </c>
    </row>
    <row r="440" spans="1:14" x14ac:dyDescent="0.25">
      <c r="A440" s="9" t="str">
        <f>IF($B440&gt;Trainingsdaten!$H$3,"",MOD(ROW()-4,Trainingsdaten!$H$4)+1)</f>
        <v/>
      </c>
      <c r="B440" s="11" t="str">
        <f>IF(INT((ROW()-4)/Trainingsdaten!$H$4)+1&gt;Trainingsdaten!$H$3,"",INT((ROW()-4)/Trainingsdaten!$H$4)+1)</f>
        <v/>
      </c>
      <c r="C440" s="9" t="str">
        <f>IF(INT((ROW()-4)/Trainingsdaten!$H$4)+1&gt;Trainingsdaten!$H$3,"",MOD(ROW()-4,Trainingsdaten!$H$4)+1)</f>
        <v/>
      </c>
      <c r="D440" s="9" t="str">
        <f>IF($B440&gt;Trainingsdaten!$H$3,"",INDEX(Trainingsdaten!B:B,$C440+1))</f>
        <v/>
      </c>
      <c r="E440" s="7" t="str">
        <f>IF($B440&gt;Trainingsdaten!$H$3,"",INDEX(Trainingsdaten!C:C,$C440+1))</f>
        <v/>
      </c>
      <c r="F440" s="7" t="str">
        <f>IF($B440&gt;Trainingsdaten!$H$3,"",INDEX(Trainingsdaten!D:D,$C440+1))</f>
        <v/>
      </c>
      <c r="G440" s="7" t="str">
        <f>IF($B440&gt;Trainingsdaten!$H$3,"",INDEX(Trainingsdaten!E:E,$C440+1))</f>
        <v/>
      </c>
      <c r="H440" s="11" t="str">
        <f>IF($B440&gt;Trainingsdaten!$H$3,"",Trainingsdaten!$H$2)</f>
        <v/>
      </c>
      <c r="I440" s="7" t="str">
        <f>IF(B440&gt;Trainingsdaten!$H$3,"",I439+H440*N439*E440)</f>
        <v/>
      </c>
      <c r="J440" s="7" t="str">
        <f>IF(B440&gt;Trainingsdaten!$H$3,"",J439+H440*N439*F440)</f>
        <v/>
      </c>
      <c r="K440" s="7" t="str">
        <f>IF(B440&gt;Trainingsdaten!$H$3,"",K439+H440*N439)</f>
        <v/>
      </c>
      <c r="L440" s="7" t="str">
        <f>IF(B440&gt;Trainingsdaten!$H$3,"",E440*I440+F440*J440+K440)</f>
        <v/>
      </c>
      <c r="M440" s="7" t="str">
        <f>IF(B440&gt;Trainingsdaten!$H$3,"",IF(L440&gt;0,1,0))</f>
        <v/>
      </c>
      <c r="N440" s="7" t="str">
        <f>IF(B440&gt;Trainingsdaten!$H$3,"",G440-M440)</f>
        <v/>
      </c>
    </row>
    <row r="441" spans="1:14" x14ac:dyDescent="0.25">
      <c r="A441" s="9" t="str">
        <f>IF($B441&gt;Trainingsdaten!$H$3,"",MOD(ROW()-4,Trainingsdaten!$H$4)+1)</f>
        <v/>
      </c>
      <c r="B441" s="11" t="str">
        <f>IF(INT((ROW()-4)/Trainingsdaten!$H$4)+1&gt;Trainingsdaten!$H$3,"",INT((ROW()-4)/Trainingsdaten!$H$4)+1)</f>
        <v/>
      </c>
      <c r="C441" s="9" t="str">
        <f>IF(INT((ROW()-4)/Trainingsdaten!$H$4)+1&gt;Trainingsdaten!$H$3,"",MOD(ROW()-4,Trainingsdaten!$H$4)+1)</f>
        <v/>
      </c>
      <c r="D441" s="9" t="str">
        <f>IF($B441&gt;Trainingsdaten!$H$3,"",INDEX(Trainingsdaten!B:B,$C441+1))</f>
        <v/>
      </c>
      <c r="E441" s="7" t="str">
        <f>IF($B441&gt;Trainingsdaten!$H$3,"",INDEX(Trainingsdaten!C:C,$C441+1))</f>
        <v/>
      </c>
      <c r="F441" s="7" t="str">
        <f>IF($B441&gt;Trainingsdaten!$H$3,"",INDEX(Trainingsdaten!D:D,$C441+1))</f>
        <v/>
      </c>
      <c r="G441" s="7" t="str">
        <f>IF($B441&gt;Trainingsdaten!$H$3,"",INDEX(Trainingsdaten!E:E,$C441+1))</f>
        <v/>
      </c>
      <c r="H441" s="11" t="str">
        <f>IF($B441&gt;Trainingsdaten!$H$3,"",Trainingsdaten!$H$2)</f>
        <v/>
      </c>
      <c r="I441" s="7" t="str">
        <f>IF(B441&gt;Trainingsdaten!$H$3,"",I440+H441*N440*E441)</f>
        <v/>
      </c>
      <c r="J441" s="7" t="str">
        <f>IF(B441&gt;Trainingsdaten!$H$3,"",J440+H441*N440*F441)</f>
        <v/>
      </c>
      <c r="K441" s="7" t="str">
        <f>IF(B441&gt;Trainingsdaten!$H$3,"",K440+H441*N440)</f>
        <v/>
      </c>
      <c r="L441" s="7" t="str">
        <f>IF(B441&gt;Trainingsdaten!$H$3,"",E441*I441+F441*J441+K441)</f>
        <v/>
      </c>
      <c r="M441" s="7" t="str">
        <f>IF(B441&gt;Trainingsdaten!$H$3,"",IF(L441&gt;0,1,0))</f>
        <v/>
      </c>
      <c r="N441" s="7" t="str">
        <f>IF(B441&gt;Trainingsdaten!$H$3,"",G441-M441)</f>
        <v/>
      </c>
    </row>
    <row r="442" spans="1:14" x14ac:dyDescent="0.25">
      <c r="A442" s="9" t="str">
        <f>IF($B442&gt;Trainingsdaten!$H$3,"",MOD(ROW()-4,Trainingsdaten!$H$4)+1)</f>
        <v/>
      </c>
      <c r="B442" s="11" t="str">
        <f>IF(INT((ROW()-4)/Trainingsdaten!$H$4)+1&gt;Trainingsdaten!$H$3,"",INT((ROW()-4)/Trainingsdaten!$H$4)+1)</f>
        <v/>
      </c>
      <c r="C442" s="9" t="str">
        <f>IF(INT((ROW()-4)/Trainingsdaten!$H$4)+1&gt;Trainingsdaten!$H$3,"",MOD(ROW()-4,Trainingsdaten!$H$4)+1)</f>
        <v/>
      </c>
      <c r="D442" s="9" t="str">
        <f>IF($B442&gt;Trainingsdaten!$H$3,"",INDEX(Trainingsdaten!B:B,$C442+1))</f>
        <v/>
      </c>
      <c r="E442" s="7" t="str">
        <f>IF($B442&gt;Trainingsdaten!$H$3,"",INDEX(Trainingsdaten!C:C,$C442+1))</f>
        <v/>
      </c>
      <c r="F442" s="7" t="str">
        <f>IF($B442&gt;Trainingsdaten!$H$3,"",INDEX(Trainingsdaten!D:D,$C442+1))</f>
        <v/>
      </c>
      <c r="G442" s="7" t="str">
        <f>IF($B442&gt;Trainingsdaten!$H$3,"",INDEX(Trainingsdaten!E:E,$C442+1))</f>
        <v/>
      </c>
      <c r="H442" s="11" t="str">
        <f>IF($B442&gt;Trainingsdaten!$H$3,"",Trainingsdaten!$H$2)</f>
        <v/>
      </c>
      <c r="I442" s="7" t="str">
        <f>IF(B442&gt;Trainingsdaten!$H$3,"",I441+H442*N441*E442)</f>
        <v/>
      </c>
      <c r="J442" s="7" t="str">
        <f>IF(B442&gt;Trainingsdaten!$H$3,"",J441+H442*N441*F442)</f>
        <v/>
      </c>
      <c r="K442" s="7" t="str">
        <f>IF(B442&gt;Trainingsdaten!$H$3,"",K441+H442*N441)</f>
        <v/>
      </c>
      <c r="L442" s="7" t="str">
        <f>IF(B442&gt;Trainingsdaten!$H$3,"",E442*I442+F442*J442+K442)</f>
        <v/>
      </c>
      <c r="M442" s="7" t="str">
        <f>IF(B442&gt;Trainingsdaten!$H$3,"",IF(L442&gt;0,1,0))</f>
        <v/>
      </c>
      <c r="N442" s="7" t="str">
        <f>IF(B442&gt;Trainingsdaten!$H$3,"",G442-M442)</f>
        <v/>
      </c>
    </row>
    <row r="443" spans="1:14" x14ac:dyDescent="0.25">
      <c r="A443" s="9" t="str">
        <f>IF($B443&gt;Trainingsdaten!$H$3,"",MOD(ROW()-4,Trainingsdaten!$H$4)+1)</f>
        <v/>
      </c>
      <c r="B443" s="11" t="str">
        <f>IF(INT((ROW()-4)/Trainingsdaten!$H$4)+1&gt;Trainingsdaten!$H$3,"",INT((ROW()-4)/Trainingsdaten!$H$4)+1)</f>
        <v/>
      </c>
      <c r="C443" s="9" t="str">
        <f>IF(INT((ROW()-4)/Trainingsdaten!$H$4)+1&gt;Trainingsdaten!$H$3,"",MOD(ROW()-4,Trainingsdaten!$H$4)+1)</f>
        <v/>
      </c>
      <c r="D443" s="9" t="str">
        <f>IF($B443&gt;Trainingsdaten!$H$3,"",INDEX(Trainingsdaten!B:B,$C443+1))</f>
        <v/>
      </c>
      <c r="E443" s="7" t="str">
        <f>IF($B443&gt;Trainingsdaten!$H$3,"",INDEX(Trainingsdaten!C:C,$C443+1))</f>
        <v/>
      </c>
      <c r="F443" s="7" t="str">
        <f>IF($B443&gt;Trainingsdaten!$H$3,"",INDEX(Trainingsdaten!D:D,$C443+1))</f>
        <v/>
      </c>
      <c r="G443" s="7" t="str">
        <f>IF($B443&gt;Trainingsdaten!$H$3,"",INDEX(Trainingsdaten!E:E,$C443+1))</f>
        <v/>
      </c>
      <c r="H443" s="11" t="str">
        <f>IF($B443&gt;Trainingsdaten!$H$3,"",Trainingsdaten!$H$2)</f>
        <v/>
      </c>
      <c r="I443" s="7" t="str">
        <f>IF(B443&gt;Trainingsdaten!$H$3,"",I442+H443*N442*E443)</f>
        <v/>
      </c>
      <c r="J443" s="7" t="str">
        <f>IF(B443&gt;Trainingsdaten!$H$3,"",J442+H443*N442*F443)</f>
        <v/>
      </c>
      <c r="K443" s="7" t="str">
        <f>IF(B443&gt;Trainingsdaten!$H$3,"",K442+H443*N442)</f>
        <v/>
      </c>
      <c r="L443" s="7" t="str">
        <f>IF(B443&gt;Trainingsdaten!$H$3,"",E443*I443+F443*J443+K443)</f>
        <v/>
      </c>
      <c r="M443" s="7" t="str">
        <f>IF(B443&gt;Trainingsdaten!$H$3,"",IF(L443&gt;0,1,0))</f>
        <v/>
      </c>
      <c r="N443" s="7" t="str">
        <f>IF(B443&gt;Trainingsdaten!$H$3,"",G443-M443)</f>
        <v/>
      </c>
    </row>
    <row r="444" spans="1:14" x14ac:dyDescent="0.25">
      <c r="A444" s="9" t="str">
        <f>IF($B444&gt;Trainingsdaten!$H$3,"",MOD(ROW()-4,Trainingsdaten!$H$4)+1)</f>
        <v/>
      </c>
      <c r="B444" s="11" t="str">
        <f>IF(INT((ROW()-4)/Trainingsdaten!$H$4)+1&gt;Trainingsdaten!$H$3,"",INT((ROW()-4)/Trainingsdaten!$H$4)+1)</f>
        <v/>
      </c>
      <c r="C444" s="9" t="str">
        <f>IF(INT((ROW()-4)/Trainingsdaten!$H$4)+1&gt;Trainingsdaten!$H$3,"",MOD(ROW()-4,Trainingsdaten!$H$4)+1)</f>
        <v/>
      </c>
      <c r="D444" s="9" t="str">
        <f>IF($B444&gt;Trainingsdaten!$H$3,"",INDEX(Trainingsdaten!B:B,$C444+1))</f>
        <v/>
      </c>
      <c r="E444" s="7" t="str">
        <f>IF($B444&gt;Trainingsdaten!$H$3,"",INDEX(Trainingsdaten!C:C,$C444+1))</f>
        <v/>
      </c>
      <c r="F444" s="7" t="str">
        <f>IF($B444&gt;Trainingsdaten!$H$3,"",INDEX(Trainingsdaten!D:D,$C444+1))</f>
        <v/>
      </c>
      <c r="G444" s="7" t="str">
        <f>IF($B444&gt;Trainingsdaten!$H$3,"",INDEX(Trainingsdaten!E:E,$C444+1))</f>
        <v/>
      </c>
      <c r="H444" s="11" t="str">
        <f>IF($B444&gt;Trainingsdaten!$H$3,"",Trainingsdaten!$H$2)</f>
        <v/>
      </c>
      <c r="I444" s="7" t="str">
        <f>IF(B444&gt;Trainingsdaten!$H$3,"",I443+H444*N443*E444)</f>
        <v/>
      </c>
      <c r="J444" s="7" t="str">
        <f>IF(B444&gt;Trainingsdaten!$H$3,"",J443+H444*N443*F444)</f>
        <v/>
      </c>
      <c r="K444" s="7" t="str">
        <f>IF(B444&gt;Trainingsdaten!$H$3,"",K443+H444*N443)</f>
        <v/>
      </c>
      <c r="L444" s="7" t="str">
        <f>IF(B444&gt;Trainingsdaten!$H$3,"",E444*I444+F444*J444+K444)</f>
        <v/>
      </c>
      <c r="M444" s="7" t="str">
        <f>IF(B444&gt;Trainingsdaten!$H$3,"",IF(L444&gt;0,1,0))</f>
        <v/>
      </c>
      <c r="N444" s="7" t="str">
        <f>IF(B444&gt;Trainingsdaten!$H$3,"",G444-M444)</f>
        <v/>
      </c>
    </row>
    <row r="445" spans="1:14" x14ac:dyDescent="0.25">
      <c r="A445" s="9" t="str">
        <f>IF($B445&gt;Trainingsdaten!$H$3,"",MOD(ROW()-4,Trainingsdaten!$H$4)+1)</f>
        <v/>
      </c>
      <c r="B445" s="11" t="str">
        <f>IF(INT((ROW()-4)/Trainingsdaten!$H$4)+1&gt;Trainingsdaten!$H$3,"",INT((ROW()-4)/Trainingsdaten!$H$4)+1)</f>
        <v/>
      </c>
      <c r="C445" s="9" t="str">
        <f>IF(INT((ROW()-4)/Trainingsdaten!$H$4)+1&gt;Trainingsdaten!$H$3,"",MOD(ROW()-4,Trainingsdaten!$H$4)+1)</f>
        <v/>
      </c>
      <c r="D445" s="9" t="str">
        <f>IF($B445&gt;Trainingsdaten!$H$3,"",INDEX(Trainingsdaten!B:B,$C445+1))</f>
        <v/>
      </c>
      <c r="E445" s="7" t="str">
        <f>IF($B445&gt;Trainingsdaten!$H$3,"",INDEX(Trainingsdaten!C:C,$C445+1))</f>
        <v/>
      </c>
      <c r="F445" s="7" t="str">
        <f>IF($B445&gt;Trainingsdaten!$H$3,"",INDEX(Trainingsdaten!D:D,$C445+1))</f>
        <v/>
      </c>
      <c r="G445" s="7" t="str">
        <f>IF($B445&gt;Trainingsdaten!$H$3,"",INDEX(Trainingsdaten!E:E,$C445+1))</f>
        <v/>
      </c>
      <c r="H445" s="11" t="str">
        <f>IF($B445&gt;Trainingsdaten!$H$3,"",Trainingsdaten!$H$2)</f>
        <v/>
      </c>
      <c r="I445" s="7" t="str">
        <f>IF(B445&gt;Trainingsdaten!$H$3,"",I444+H445*N444*E445)</f>
        <v/>
      </c>
      <c r="J445" s="7" t="str">
        <f>IF(B445&gt;Trainingsdaten!$H$3,"",J444+H445*N444*F445)</f>
        <v/>
      </c>
      <c r="K445" s="7" t="str">
        <f>IF(B445&gt;Trainingsdaten!$H$3,"",K444+H445*N444)</f>
        <v/>
      </c>
      <c r="L445" s="7" t="str">
        <f>IF(B445&gt;Trainingsdaten!$H$3,"",E445*I445+F445*J445+K445)</f>
        <v/>
      </c>
      <c r="M445" s="7" t="str">
        <f>IF(B445&gt;Trainingsdaten!$H$3,"",IF(L445&gt;0,1,0))</f>
        <v/>
      </c>
      <c r="N445" s="7" t="str">
        <f>IF(B445&gt;Trainingsdaten!$H$3,"",G445-M445)</f>
        <v/>
      </c>
    </row>
    <row r="446" spans="1:14" x14ac:dyDescent="0.25">
      <c r="A446" s="9" t="str">
        <f>IF($B446&gt;Trainingsdaten!$H$3,"",MOD(ROW()-4,Trainingsdaten!$H$4)+1)</f>
        <v/>
      </c>
      <c r="B446" s="11" t="str">
        <f>IF(INT((ROW()-4)/Trainingsdaten!$H$4)+1&gt;Trainingsdaten!$H$3,"",INT((ROW()-4)/Trainingsdaten!$H$4)+1)</f>
        <v/>
      </c>
      <c r="C446" s="9" t="str">
        <f>IF(INT((ROW()-4)/Trainingsdaten!$H$4)+1&gt;Trainingsdaten!$H$3,"",MOD(ROW()-4,Trainingsdaten!$H$4)+1)</f>
        <v/>
      </c>
      <c r="D446" s="9" t="str">
        <f>IF($B446&gt;Trainingsdaten!$H$3,"",INDEX(Trainingsdaten!B:B,$C446+1))</f>
        <v/>
      </c>
      <c r="E446" s="7" t="str">
        <f>IF($B446&gt;Trainingsdaten!$H$3,"",INDEX(Trainingsdaten!C:C,$C446+1))</f>
        <v/>
      </c>
      <c r="F446" s="7" t="str">
        <f>IF($B446&gt;Trainingsdaten!$H$3,"",INDEX(Trainingsdaten!D:D,$C446+1))</f>
        <v/>
      </c>
      <c r="G446" s="7" t="str">
        <f>IF($B446&gt;Trainingsdaten!$H$3,"",INDEX(Trainingsdaten!E:E,$C446+1))</f>
        <v/>
      </c>
      <c r="H446" s="11" t="str">
        <f>IF($B446&gt;Trainingsdaten!$H$3,"",Trainingsdaten!$H$2)</f>
        <v/>
      </c>
      <c r="I446" s="7" t="str">
        <f>IF(B446&gt;Trainingsdaten!$H$3,"",I445+H446*N445*E446)</f>
        <v/>
      </c>
      <c r="J446" s="7" t="str">
        <f>IF(B446&gt;Trainingsdaten!$H$3,"",J445+H446*N445*F446)</f>
        <v/>
      </c>
      <c r="K446" s="7" t="str">
        <f>IF(B446&gt;Trainingsdaten!$H$3,"",K445+H446*N445)</f>
        <v/>
      </c>
      <c r="L446" s="7" t="str">
        <f>IF(B446&gt;Trainingsdaten!$H$3,"",E446*I446+F446*J446+K446)</f>
        <v/>
      </c>
      <c r="M446" s="7" t="str">
        <f>IF(B446&gt;Trainingsdaten!$H$3,"",IF(L446&gt;0,1,0))</f>
        <v/>
      </c>
      <c r="N446" s="7" t="str">
        <f>IF(B446&gt;Trainingsdaten!$H$3,"",G446-M446)</f>
        <v/>
      </c>
    </row>
    <row r="447" spans="1:14" x14ac:dyDescent="0.25">
      <c r="A447" s="9" t="str">
        <f>IF($B447&gt;Trainingsdaten!$H$3,"",MOD(ROW()-4,Trainingsdaten!$H$4)+1)</f>
        <v/>
      </c>
      <c r="B447" s="11" t="str">
        <f>IF(INT((ROW()-4)/Trainingsdaten!$H$4)+1&gt;Trainingsdaten!$H$3,"",INT((ROW()-4)/Trainingsdaten!$H$4)+1)</f>
        <v/>
      </c>
      <c r="C447" s="9" t="str">
        <f>IF(INT((ROW()-4)/Trainingsdaten!$H$4)+1&gt;Trainingsdaten!$H$3,"",MOD(ROW()-4,Trainingsdaten!$H$4)+1)</f>
        <v/>
      </c>
      <c r="D447" s="9" t="str">
        <f>IF($B447&gt;Trainingsdaten!$H$3,"",INDEX(Trainingsdaten!B:B,$C447+1))</f>
        <v/>
      </c>
      <c r="E447" s="7" t="str">
        <f>IF($B447&gt;Trainingsdaten!$H$3,"",INDEX(Trainingsdaten!C:C,$C447+1))</f>
        <v/>
      </c>
      <c r="F447" s="7" t="str">
        <f>IF($B447&gt;Trainingsdaten!$H$3,"",INDEX(Trainingsdaten!D:D,$C447+1))</f>
        <v/>
      </c>
      <c r="G447" s="7" t="str">
        <f>IF($B447&gt;Trainingsdaten!$H$3,"",INDEX(Trainingsdaten!E:E,$C447+1))</f>
        <v/>
      </c>
      <c r="H447" s="11" t="str">
        <f>IF($B447&gt;Trainingsdaten!$H$3,"",Trainingsdaten!$H$2)</f>
        <v/>
      </c>
      <c r="I447" s="7" t="str">
        <f>IF(B447&gt;Trainingsdaten!$H$3,"",I446+H447*N446*E447)</f>
        <v/>
      </c>
      <c r="J447" s="7" t="str">
        <f>IF(B447&gt;Trainingsdaten!$H$3,"",J446+H447*N446*F447)</f>
        <v/>
      </c>
      <c r="K447" s="7" t="str">
        <f>IF(B447&gt;Trainingsdaten!$H$3,"",K446+H447*N446)</f>
        <v/>
      </c>
      <c r="L447" s="7" t="str">
        <f>IF(B447&gt;Trainingsdaten!$H$3,"",E447*I447+F447*J447+K447)</f>
        <v/>
      </c>
      <c r="M447" s="7" t="str">
        <f>IF(B447&gt;Trainingsdaten!$H$3,"",IF(L447&gt;0,1,0))</f>
        <v/>
      </c>
      <c r="N447" s="7" t="str">
        <f>IF(B447&gt;Trainingsdaten!$H$3,"",G447-M447)</f>
        <v/>
      </c>
    </row>
    <row r="448" spans="1:14" x14ac:dyDescent="0.25">
      <c r="A448" s="9" t="str">
        <f>IF($B448&gt;Trainingsdaten!$H$3,"",MOD(ROW()-4,Trainingsdaten!$H$4)+1)</f>
        <v/>
      </c>
      <c r="B448" s="11" t="str">
        <f>IF(INT((ROW()-4)/Trainingsdaten!$H$4)+1&gt;Trainingsdaten!$H$3,"",INT((ROW()-4)/Trainingsdaten!$H$4)+1)</f>
        <v/>
      </c>
      <c r="C448" s="9" t="str">
        <f>IF(INT((ROW()-4)/Trainingsdaten!$H$4)+1&gt;Trainingsdaten!$H$3,"",MOD(ROW()-4,Trainingsdaten!$H$4)+1)</f>
        <v/>
      </c>
      <c r="D448" s="9" t="str">
        <f>IF($B448&gt;Trainingsdaten!$H$3,"",INDEX(Trainingsdaten!B:B,$C448+1))</f>
        <v/>
      </c>
      <c r="E448" s="7" t="str">
        <f>IF($B448&gt;Trainingsdaten!$H$3,"",INDEX(Trainingsdaten!C:C,$C448+1))</f>
        <v/>
      </c>
      <c r="F448" s="7" t="str">
        <f>IF($B448&gt;Trainingsdaten!$H$3,"",INDEX(Trainingsdaten!D:D,$C448+1))</f>
        <v/>
      </c>
      <c r="G448" s="7" t="str">
        <f>IF($B448&gt;Trainingsdaten!$H$3,"",INDEX(Trainingsdaten!E:E,$C448+1))</f>
        <v/>
      </c>
      <c r="H448" s="11" t="str">
        <f>IF($B448&gt;Trainingsdaten!$H$3,"",Trainingsdaten!$H$2)</f>
        <v/>
      </c>
      <c r="I448" s="7" t="str">
        <f>IF(B448&gt;Trainingsdaten!$H$3,"",I447+H448*N447*E448)</f>
        <v/>
      </c>
      <c r="J448" s="7" t="str">
        <f>IF(B448&gt;Trainingsdaten!$H$3,"",J447+H448*N447*F448)</f>
        <v/>
      </c>
      <c r="K448" s="7" t="str">
        <f>IF(B448&gt;Trainingsdaten!$H$3,"",K447+H448*N447)</f>
        <v/>
      </c>
      <c r="L448" s="7" t="str">
        <f>IF(B448&gt;Trainingsdaten!$H$3,"",E448*I448+F448*J448+K448)</f>
        <v/>
      </c>
      <c r="M448" s="7" t="str">
        <f>IF(B448&gt;Trainingsdaten!$H$3,"",IF(L448&gt;0,1,0))</f>
        <v/>
      </c>
      <c r="N448" s="7" t="str">
        <f>IF(B448&gt;Trainingsdaten!$H$3,"",G448-M448)</f>
        <v/>
      </c>
    </row>
    <row r="449" spans="1:14" x14ac:dyDescent="0.25">
      <c r="A449" s="9" t="str">
        <f>IF($B449&gt;Trainingsdaten!$H$3,"",MOD(ROW()-4,Trainingsdaten!$H$4)+1)</f>
        <v/>
      </c>
      <c r="B449" s="11" t="str">
        <f>IF(INT((ROW()-4)/Trainingsdaten!$H$4)+1&gt;Trainingsdaten!$H$3,"",INT((ROW()-4)/Trainingsdaten!$H$4)+1)</f>
        <v/>
      </c>
      <c r="C449" s="9" t="str">
        <f>IF(INT((ROW()-4)/Trainingsdaten!$H$4)+1&gt;Trainingsdaten!$H$3,"",MOD(ROW()-4,Trainingsdaten!$H$4)+1)</f>
        <v/>
      </c>
      <c r="D449" s="9" t="str">
        <f>IF($B449&gt;Trainingsdaten!$H$3,"",INDEX(Trainingsdaten!B:B,$C449+1))</f>
        <v/>
      </c>
      <c r="E449" s="7" t="str">
        <f>IF($B449&gt;Trainingsdaten!$H$3,"",INDEX(Trainingsdaten!C:C,$C449+1))</f>
        <v/>
      </c>
      <c r="F449" s="7" t="str">
        <f>IF($B449&gt;Trainingsdaten!$H$3,"",INDEX(Trainingsdaten!D:D,$C449+1))</f>
        <v/>
      </c>
      <c r="G449" s="7" t="str">
        <f>IF($B449&gt;Trainingsdaten!$H$3,"",INDEX(Trainingsdaten!E:E,$C449+1))</f>
        <v/>
      </c>
      <c r="H449" s="11" t="str">
        <f>IF($B449&gt;Trainingsdaten!$H$3,"",Trainingsdaten!$H$2)</f>
        <v/>
      </c>
      <c r="I449" s="7" t="str">
        <f>IF(B449&gt;Trainingsdaten!$H$3,"",I448+H449*N448*E449)</f>
        <v/>
      </c>
      <c r="J449" s="7" t="str">
        <f>IF(B449&gt;Trainingsdaten!$H$3,"",J448+H449*N448*F449)</f>
        <v/>
      </c>
      <c r="K449" s="7" t="str">
        <f>IF(B449&gt;Trainingsdaten!$H$3,"",K448+H449*N448)</f>
        <v/>
      </c>
      <c r="L449" s="7" t="str">
        <f>IF(B449&gt;Trainingsdaten!$H$3,"",E449*I449+F449*J449+K449)</f>
        <v/>
      </c>
      <c r="M449" s="7" t="str">
        <f>IF(B449&gt;Trainingsdaten!$H$3,"",IF(L449&gt;0,1,0))</f>
        <v/>
      </c>
      <c r="N449" s="7" t="str">
        <f>IF(B449&gt;Trainingsdaten!$H$3,"",G449-M449)</f>
        <v/>
      </c>
    </row>
    <row r="450" spans="1:14" x14ac:dyDescent="0.25">
      <c r="A450" s="9" t="str">
        <f>IF($B450&gt;Trainingsdaten!$H$3,"",MOD(ROW()-4,Trainingsdaten!$H$4)+1)</f>
        <v/>
      </c>
      <c r="B450" s="11" t="str">
        <f>IF(INT((ROW()-4)/Trainingsdaten!$H$4)+1&gt;Trainingsdaten!$H$3,"",INT((ROW()-4)/Trainingsdaten!$H$4)+1)</f>
        <v/>
      </c>
      <c r="C450" s="9" t="str">
        <f>IF(INT((ROW()-4)/Trainingsdaten!$H$4)+1&gt;Trainingsdaten!$H$3,"",MOD(ROW()-4,Trainingsdaten!$H$4)+1)</f>
        <v/>
      </c>
      <c r="D450" s="9" t="str">
        <f>IF($B450&gt;Trainingsdaten!$H$3,"",INDEX(Trainingsdaten!B:B,$C450+1))</f>
        <v/>
      </c>
      <c r="E450" s="7" t="str">
        <f>IF($B450&gt;Trainingsdaten!$H$3,"",INDEX(Trainingsdaten!C:C,$C450+1))</f>
        <v/>
      </c>
      <c r="F450" s="7" t="str">
        <f>IF($B450&gt;Trainingsdaten!$H$3,"",INDEX(Trainingsdaten!D:D,$C450+1))</f>
        <v/>
      </c>
      <c r="G450" s="7" t="str">
        <f>IF($B450&gt;Trainingsdaten!$H$3,"",INDEX(Trainingsdaten!E:E,$C450+1))</f>
        <v/>
      </c>
      <c r="H450" s="11" t="str">
        <f>IF($B450&gt;Trainingsdaten!$H$3,"",Trainingsdaten!$H$2)</f>
        <v/>
      </c>
      <c r="I450" s="7" t="str">
        <f>IF(B450&gt;Trainingsdaten!$H$3,"",I449+H450*N449*E450)</f>
        <v/>
      </c>
      <c r="J450" s="7" t="str">
        <f>IF(B450&gt;Trainingsdaten!$H$3,"",J449+H450*N449*F450)</f>
        <v/>
      </c>
      <c r="K450" s="7" t="str">
        <f>IF(B450&gt;Trainingsdaten!$H$3,"",K449+H450*N449)</f>
        <v/>
      </c>
      <c r="L450" s="7" t="str">
        <f>IF(B450&gt;Trainingsdaten!$H$3,"",E450*I450+F450*J450+K450)</f>
        <v/>
      </c>
      <c r="M450" s="7" t="str">
        <f>IF(B450&gt;Trainingsdaten!$H$3,"",IF(L450&gt;0,1,0))</f>
        <v/>
      </c>
      <c r="N450" s="7" t="str">
        <f>IF(B450&gt;Trainingsdaten!$H$3,"",G450-M450)</f>
        <v/>
      </c>
    </row>
    <row r="451" spans="1:14" x14ac:dyDescent="0.25">
      <c r="A451" s="9" t="str">
        <f>IF($B451&gt;Trainingsdaten!$H$3,"",MOD(ROW()-4,Trainingsdaten!$H$4)+1)</f>
        <v/>
      </c>
      <c r="B451" s="11" t="str">
        <f>IF(INT((ROW()-4)/Trainingsdaten!$H$4)+1&gt;Trainingsdaten!$H$3,"",INT((ROW()-4)/Trainingsdaten!$H$4)+1)</f>
        <v/>
      </c>
      <c r="C451" s="9" t="str">
        <f>IF(INT((ROW()-4)/Trainingsdaten!$H$4)+1&gt;Trainingsdaten!$H$3,"",MOD(ROW()-4,Trainingsdaten!$H$4)+1)</f>
        <v/>
      </c>
      <c r="D451" s="9" t="str">
        <f>IF($B451&gt;Trainingsdaten!$H$3,"",INDEX(Trainingsdaten!B:B,$C451+1))</f>
        <v/>
      </c>
      <c r="E451" s="7" t="str">
        <f>IF($B451&gt;Trainingsdaten!$H$3,"",INDEX(Trainingsdaten!C:C,$C451+1))</f>
        <v/>
      </c>
      <c r="F451" s="7" t="str">
        <f>IF($B451&gt;Trainingsdaten!$H$3,"",INDEX(Trainingsdaten!D:D,$C451+1))</f>
        <v/>
      </c>
      <c r="G451" s="7" t="str">
        <f>IF($B451&gt;Trainingsdaten!$H$3,"",INDEX(Trainingsdaten!E:E,$C451+1))</f>
        <v/>
      </c>
      <c r="H451" s="11" t="str">
        <f>IF($B451&gt;Trainingsdaten!$H$3,"",Trainingsdaten!$H$2)</f>
        <v/>
      </c>
      <c r="I451" s="7" t="str">
        <f>IF(B451&gt;Trainingsdaten!$H$3,"",I450+H451*N450*E451)</f>
        <v/>
      </c>
      <c r="J451" s="7" t="str">
        <f>IF(B451&gt;Trainingsdaten!$H$3,"",J450+H451*N450*F451)</f>
        <v/>
      </c>
      <c r="K451" s="7" t="str">
        <f>IF(B451&gt;Trainingsdaten!$H$3,"",K450+H451*N450)</f>
        <v/>
      </c>
      <c r="L451" s="7" t="str">
        <f>IF(B451&gt;Trainingsdaten!$H$3,"",E451*I451+F451*J451+K451)</f>
        <v/>
      </c>
      <c r="M451" s="7" t="str">
        <f>IF(B451&gt;Trainingsdaten!$H$3,"",IF(L451&gt;0,1,0))</f>
        <v/>
      </c>
      <c r="N451" s="7" t="str">
        <f>IF(B451&gt;Trainingsdaten!$H$3,"",G451-M451)</f>
        <v/>
      </c>
    </row>
    <row r="452" spans="1:14" x14ac:dyDescent="0.25">
      <c r="A452" s="9" t="str">
        <f>IF($B452&gt;Trainingsdaten!$H$3,"",MOD(ROW()-4,Trainingsdaten!$H$4)+1)</f>
        <v/>
      </c>
      <c r="B452" s="11" t="str">
        <f>IF(INT((ROW()-4)/Trainingsdaten!$H$4)+1&gt;Trainingsdaten!$H$3,"",INT((ROW()-4)/Trainingsdaten!$H$4)+1)</f>
        <v/>
      </c>
      <c r="C452" s="9" t="str">
        <f>IF(INT((ROW()-4)/Trainingsdaten!$H$4)+1&gt;Trainingsdaten!$H$3,"",MOD(ROW()-4,Trainingsdaten!$H$4)+1)</f>
        <v/>
      </c>
      <c r="D452" s="9" t="str">
        <f>IF($B452&gt;Trainingsdaten!$H$3,"",INDEX(Trainingsdaten!B:B,$C452+1))</f>
        <v/>
      </c>
      <c r="E452" s="7" t="str">
        <f>IF($B452&gt;Trainingsdaten!$H$3,"",INDEX(Trainingsdaten!C:C,$C452+1))</f>
        <v/>
      </c>
      <c r="F452" s="7" t="str">
        <f>IF($B452&gt;Trainingsdaten!$H$3,"",INDEX(Trainingsdaten!D:D,$C452+1))</f>
        <v/>
      </c>
      <c r="G452" s="7" t="str">
        <f>IF($B452&gt;Trainingsdaten!$H$3,"",INDEX(Trainingsdaten!E:E,$C452+1))</f>
        <v/>
      </c>
      <c r="H452" s="11" t="str">
        <f>IF($B452&gt;Trainingsdaten!$H$3,"",Trainingsdaten!$H$2)</f>
        <v/>
      </c>
      <c r="I452" s="7" t="str">
        <f>IF(B452&gt;Trainingsdaten!$H$3,"",I451+H452*N451*E452)</f>
        <v/>
      </c>
      <c r="J452" s="7" t="str">
        <f>IF(B452&gt;Trainingsdaten!$H$3,"",J451+H452*N451*F452)</f>
        <v/>
      </c>
      <c r="K452" s="7" t="str">
        <f>IF(B452&gt;Trainingsdaten!$H$3,"",K451+H452*N451)</f>
        <v/>
      </c>
      <c r="L452" s="7" t="str">
        <f>IF(B452&gt;Trainingsdaten!$H$3,"",E452*I452+F452*J452+K452)</f>
        <v/>
      </c>
      <c r="M452" s="7" t="str">
        <f>IF(B452&gt;Trainingsdaten!$H$3,"",IF(L452&gt;0,1,0))</f>
        <v/>
      </c>
      <c r="N452" s="7" t="str">
        <f>IF(B452&gt;Trainingsdaten!$H$3,"",G452-M452)</f>
        <v/>
      </c>
    </row>
    <row r="453" spans="1:14" x14ac:dyDescent="0.25">
      <c r="A453" s="9" t="str">
        <f>IF($B453&gt;Trainingsdaten!$H$3,"",MOD(ROW()-4,Trainingsdaten!$H$4)+1)</f>
        <v/>
      </c>
      <c r="B453" s="11" t="str">
        <f>IF(INT((ROW()-4)/Trainingsdaten!$H$4)+1&gt;Trainingsdaten!$H$3,"",INT((ROW()-4)/Trainingsdaten!$H$4)+1)</f>
        <v/>
      </c>
      <c r="C453" s="9" t="str">
        <f>IF(INT((ROW()-4)/Trainingsdaten!$H$4)+1&gt;Trainingsdaten!$H$3,"",MOD(ROW()-4,Trainingsdaten!$H$4)+1)</f>
        <v/>
      </c>
      <c r="D453" s="9" t="str">
        <f>IF($B453&gt;Trainingsdaten!$H$3,"",INDEX(Trainingsdaten!B:B,$C453+1))</f>
        <v/>
      </c>
      <c r="E453" s="7" t="str">
        <f>IF($B453&gt;Trainingsdaten!$H$3,"",INDEX(Trainingsdaten!C:C,$C453+1))</f>
        <v/>
      </c>
      <c r="F453" s="7" t="str">
        <f>IF($B453&gt;Trainingsdaten!$H$3,"",INDEX(Trainingsdaten!D:D,$C453+1))</f>
        <v/>
      </c>
      <c r="G453" s="7" t="str">
        <f>IF($B453&gt;Trainingsdaten!$H$3,"",INDEX(Trainingsdaten!E:E,$C453+1))</f>
        <v/>
      </c>
      <c r="H453" s="11" t="str">
        <f>IF($B453&gt;Trainingsdaten!$H$3,"",Trainingsdaten!$H$2)</f>
        <v/>
      </c>
      <c r="I453" s="7" t="str">
        <f>IF(B453&gt;Trainingsdaten!$H$3,"",I452+H453*N452*E453)</f>
        <v/>
      </c>
      <c r="J453" s="7" t="str">
        <f>IF(B453&gt;Trainingsdaten!$H$3,"",J452+H453*N452*F453)</f>
        <v/>
      </c>
      <c r="K453" s="7" t="str">
        <f>IF(B453&gt;Trainingsdaten!$H$3,"",K452+H453*N452)</f>
        <v/>
      </c>
      <c r="L453" s="7" t="str">
        <f>IF(B453&gt;Trainingsdaten!$H$3,"",E453*I453+F453*J453+K453)</f>
        <v/>
      </c>
      <c r="M453" s="7" t="str">
        <f>IF(B453&gt;Trainingsdaten!$H$3,"",IF(L453&gt;0,1,0))</f>
        <v/>
      </c>
      <c r="N453" s="7" t="str">
        <f>IF(B453&gt;Trainingsdaten!$H$3,"",G453-M453)</f>
        <v/>
      </c>
    </row>
    <row r="454" spans="1:14" x14ac:dyDescent="0.25">
      <c r="A454" s="9" t="str">
        <f>IF($B454&gt;Trainingsdaten!$H$3,"",MOD(ROW()-4,Trainingsdaten!$H$4)+1)</f>
        <v/>
      </c>
      <c r="B454" s="11" t="str">
        <f>IF(INT((ROW()-4)/Trainingsdaten!$H$4)+1&gt;Trainingsdaten!$H$3,"",INT((ROW()-4)/Trainingsdaten!$H$4)+1)</f>
        <v/>
      </c>
      <c r="C454" s="9" t="str">
        <f>IF(INT((ROW()-4)/Trainingsdaten!$H$4)+1&gt;Trainingsdaten!$H$3,"",MOD(ROW()-4,Trainingsdaten!$H$4)+1)</f>
        <v/>
      </c>
      <c r="D454" s="9" t="str">
        <f>IF($B454&gt;Trainingsdaten!$H$3,"",INDEX(Trainingsdaten!B:B,$C454+1))</f>
        <v/>
      </c>
      <c r="E454" s="7" t="str">
        <f>IF($B454&gt;Trainingsdaten!$H$3,"",INDEX(Trainingsdaten!C:C,$C454+1))</f>
        <v/>
      </c>
      <c r="F454" s="7" t="str">
        <f>IF($B454&gt;Trainingsdaten!$H$3,"",INDEX(Trainingsdaten!D:D,$C454+1))</f>
        <v/>
      </c>
      <c r="G454" s="7" t="str">
        <f>IF($B454&gt;Trainingsdaten!$H$3,"",INDEX(Trainingsdaten!E:E,$C454+1))</f>
        <v/>
      </c>
      <c r="H454" s="11" t="str">
        <f>IF($B454&gt;Trainingsdaten!$H$3,"",Trainingsdaten!$H$2)</f>
        <v/>
      </c>
      <c r="I454" s="7" t="str">
        <f>IF(B454&gt;Trainingsdaten!$H$3,"",I453+H454*N453*E454)</f>
        <v/>
      </c>
      <c r="J454" s="7" t="str">
        <f>IF(B454&gt;Trainingsdaten!$H$3,"",J453+H454*N453*F454)</f>
        <v/>
      </c>
      <c r="K454" s="7" t="str">
        <f>IF(B454&gt;Trainingsdaten!$H$3,"",K453+H454*N453)</f>
        <v/>
      </c>
      <c r="L454" s="7" t="str">
        <f>IF(B454&gt;Trainingsdaten!$H$3,"",E454*I454+F454*J454+K454)</f>
        <v/>
      </c>
      <c r="M454" s="7" t="str">
        <f>IF(B454&gt;Trainingsdaten!$H$3,"",IF(L454&gt;0,1,0))</f>
        <v/>
      </c>
      <c r="N454" s="7" t="str">
        <f>IF(B454&gt;Trainingsdaten!$H$3,"",G454-M454)</f>
        <v/>
      </c>
    </row>
    <row r="455" spans="1:14" x14ac:dyDescent="0.25">
      <c r="A455" s="9" t="str">
        <f>IF($B455&gt;Trainingsdaten!$H$3,"",MOD(ROW()-4,Trainingsdaten!$H$4)+1)</f>
        <v/>
      </c>
      <c r="B455" s="11" t="str">
        <f>IF(INT((ROW()-4)/Trainingsdaten!$H$4)+1&gt;Trainingsdaten!$H$3,"",INT((ROW()-4)/Trainingsdaten!$H$4)+1)</f>
        <v/>
      </c>
      <c r="C455" s="9" t="str">
        <f>IF(INT((ROW()-4)/Trainingsdaten!$H$4)+1&gt;Trainingsdaten!$H$3,"",MOD(ROW()-4,Trainingsdaten!$H$4)+1)</f>
        <v/>
      </c>
      <c r="D455" s="9" t="str">
        <f>IF($B455&gt;Trainingsdaten!$H$3,"",INDEX(Trainingsdaten!B:B,$C455+1))</f>
        <v/>
      </c>
      <c r="E455" s="7" t="str">
        <f>IF($B455&gt;Trainingsdaten!$H$3,"",INDEX(Trainingsdaten!C:C,$C455+1))</f>
        <v/>
      </c>
      <c r="F455" s="7" t="str">
        <f>IF($B455&gt;Trainingsdaten!$H$3,"",INDEX(Trainingsdaten!D:D,$C455+1))</f>
        <v/>
      </c>
      <c r="G455" s="7" t="str">
        <f>IF($B455&gt;Trainingsdaten!$H$3,"",INDEX(Trainingsdaten!E:E,$C455+1))</f>
        <v/>
      </c>
      <c r="H455" s="11" t="str">
        <f>IF($B455&gt;Trainingsdaten!$H$3,"",Trainingsdaten!$H$2)</f>
        <v/>
      </c>
      <c r="I455" s="7" t="str">
        <f>IF(B455&gt;Trainingsdaten!$H$3,"",I454+H455*N454*E455)</f>
        <v/>
      </c>
      <c r="J455" s="7" t="str">
        <f>IF(B455&gt;Trainingsdaten!$H$3,"",J454+H455*N454*F455)</f>
        <v/>
      </c>
      <c r="K455" s="7" t="str">
        <f>IF(B455&gt;Trainingsdaten!$H$3,"",K454+H455*N454)</f>
        <v/>
      </c>
      <c r="L455" s="7" t="str">
        <f>IF(B455&gt;Trainingsdaten!$H$3,"",E455*I455+F455*J455+K455)</f>
        <v/>
      </c>
      <c r="M455" s="7" t="str">
        <f>IF(B455&gt;Trainingsdaten!$H$3,"",IF(L455&gt;0,1,0))</f>
        <v/>
      </c>
      <c r="N455" s="7" t="str">
        <f>IF(B455&gt;Trainingsdaten!$H$3,"",G455-M455)</f>
        <v/>
      </c>
    </row>
    <row r="456" spans="1:14" x14ac:dyDescent="0.25">
      <c r="A456" s="9" t="str">
        <f>IF($B456&gt;Trainingsdaten!$H$3,"",MOD(ROW()-4,Trainingsdaten!$H$4)+1)</f>
        <v/>
      </c>
      <c r="B456" s="11" t="str">
        <f>IF(INT((ROW()-4)/Trainingsdaten!$H$4)+1&gt;Trainingsdaten!$H$3,"",INT((ROW()-4)/Trainingsdaten!$H$4)+1)</f>
        <v/>
      </c>
      <c r="C456" s="9" t="str">
        <f>IF(INT((ROW()-4)/Trainingsdaten!$H$4)+1&gt;Trainingsdaten!$H$3,"",MOD(ROW()-4,Trainingsdaten!$H$4)+1)</f>
        <v/>
      </c>
      <c r="D456" s="9" t="str">
        <f>IF($B456&gt;Trainingsdaten!$H$3,"",INDEX(Trainingsdaten!B:B,$C456+1))</f>
        <v/>
      </c>
      <c r="E456" s="7" t="str">
        <f>IF($B456&gt;Trainingsdaten!$H$3,"",INDEX(Trainingsdaten!C:C,$C456+1))</f>
        <v/>
      </c>
      <c r="F456" s="7" t="str">
        <f>IF($B456&gt;Trainingsdaten!$H$3,"",INDEX(Trainingsdaten!D:D,$C456+1))</f>
        <v/>
      </c>
      <c r="G456" s="7" t="str">
        <f>IF($B456&gt;Trainingsdaten!$H$3,"",INDEX(Trainingsdaten!E:E,$C456+1))</f>
        <v/>
      </c>
      <c r="H456" s="11" t="str">
        <f>IF($B456&gt;Trainingsdaten!$H$3,"",Trainingsdaten!$H$2)</f>
        <v/>
      </c>
      <c r="I456" s="7" t="str">
        <f>IF(B456&gt;Trainingsdaten!$H$3,"",I455+H456*N455*E456)</f>
        <v/>
      </c>
      <c r="J456" s="7" t="str">
        <f>IF(B456&gt;Trainingsdaten!$H$3,"",J455+H456*N455*F456)</f>
        <v/>
      </c>
      <c r="K456" s="7" t="str">
        <f>IF(B456&gt;Trainingsdaten!$H$3,"",K455+H456*N455)</f>
        <v/>
      </c>
      <c r="L456" s="7" t="str">
        <f>IF(B456&gt;Trainingsdaten!$H$3,"",E456*I456+F456*J456+K456)</f>
        <v/>
      </c>
      <c r="M456" s="7" t="str">
        <f>IF(B456&gt;Trainingsdaten!$H$3,"",IF(L456&gt;0,1,0))</f>
        <v/>
      </c>
      <c r="N456" s="7" t="str">
        <f>IF(B456&gt;Trainingsdaten!$H$3,"",G456-M456)</f>
        <v/>
      </c>
    </row>
    <row r="457" spans="1:14" x14ac:dyDescent="0.25">
      <c r="A457" s="9" t="str">
        <f>IF($B457&gt;Trainingsdaten!$H$3,"",MOD(ROW()-4,Trainingsdaten!$H$4)+1)</f>
        <v/>
      </c>
      <c r="B457" s="11" t="str">
        <f>IF(INT((ROW()-4)/Trainingsdaten!$H$4)+1&gt;Trainingsdaten!$H$3,"",INT((ROW()-4)/Trainingsdaten!$H$4)+1)</f>
        <v/>
      </c>
      <c r="C457" s="9" t="str">
        <f>IF(INT((ROW()-4)/Trainingsdaten!$H$4)+1&gt;Trainingsdaten!$H$3,"",MOD(ROW()-4,Trainingsdaten!$H$4)+1)</f>
        <v/>
      </c>
      <c r="D457" s="9" t="str">
        <f>IF($B457&gt;Trainingsdaten!$H$3,"",INDEX(Trainingsdaten!B:B,$C457+1))</f>
        <v/>
      </c>
      <c r="E457" s="7" t="str">
        <f>IF($B457&gt;Trainingsdaten!$H$3,"",INDEX(Trainingsdaten!C:C,$C457+1))</f>
        <v/>
      </c>
      <c r="F457" s="7" t="str">
        <f>IF($B457&gt;Trainingsdaten!$H$3,"",INDEX(Trainingsdaten!D:D,$C457+1))</f>
        <v/>
      </c>
      <c r="G457" s="7" t="str">
        <f>IF($B457&gt;Trainingsdaten!$H$3,"",INDEX(Trainingsdaten!E:E,$C457+1))</f>
        <v/>
      </c>
      <c r="H457" s="11" t="str">
        <f>IF($B457&gt;Trainingsdaten!$H$3,"",Trainingsdaten!$H$2)</f>
        <v/>
      </c>
      <c r="I457" s="7" t="str">
        <f>IF(B457&gt;Trainingsdaten!$H$3,"",I456+H457*N456*E457)</f>
        <v/>
      </c>
      <c r="J457" s="7" t="str">
        <f>IF(B457&gt;Trainingsdaten!$H$3,"",J456+H457*N456*F457)</f>
        <v/>
      </c>
      <c r="K457" s="7" t="str">
        <f>IF(B457&gt;Trainingsdaten!$H$3,"",K456+H457*N456)</f>
        <v/>
      </c>
      <c r="L457" s="7" t="str">
        <f>IF(B457&gt;Trainingsdaten!$H$3,"",E457*I457+F457*J457+K457)</f>
        <v/>
      </c>
      <c r="M457" s="7" t="str">
        <f>IF(B457&gt;Trainingsdaten!$H$3,"",IF(L457&gt;0,1,0))</f>
        <v/>
      </c>
      <c r="N457" s="7" t="str">
        <f>IF(B457&gt;Trainingsdaten!$H$3,"",G457-M457)</f>
        <v/>
      </c>
    </row>
    <row r="458" spans="1:14" x14ac:dyDescent="0.25">
      <c r="A458" s="9" t="str">
        <f>IF($B458&gt;Trainingsdaten!$H$3,"",MOD(ROW()-4,Trainingsdaten!$H$4)+1)</f>
        <v/>
      </c>
      <c r="B458" s="11" t="str">
        <f>IF(INT((ROW()-4)/Trainingsdaten!$H$4)+1&gt;Trainingsdaten!$H$3,"",INT((ROW()-4)/Trainingsdaten!$H$4)+1)</f>
        <v/>
      </c>
      <c r="C458" s="9" t="str">
        <f>IF(INT((ROW()-4)/Trainingsdaten!$H$4)+1&gt;Trainingsdaten!$H$3,"",MOD(ROW()-4,Trainingsdaten!$H$4)+1)</f>
        <v/>
      </c>
      <c r="D458" s="9" t="str">
        <f>IF($B458&gt;Trainingsdaten!$H$3,"",INDEX(Trainingsdaten!B:B,$C458+1))</f>
        <v/>
      </c>
      <c r="E458" s="7" t="str">
        <f>IF($B458&gt;Trainingsdaten!$H$3,"",INDEX(Trainingsdaten!C:C,$C458+1))</f>
        <v/>
      </c>
      <c r="F458" s="7" t="str">
        <f>IF($B458&gt;Trainingsdaten!$H$3,"",INDEX(Trainingsdaten!D:D,$C458+1))</f>
        <v/>
      </c>
      <c r="G458" s="7" t="str">
        <f>IF($B458&gt;Trainingsdaten!$H$3,"",INDEX(Trainingsdaten!E:E,$C458+1))</f>
        <v/>
      </c>
      <c r="H458" s="11" t="str">
        <f>IF($B458&gt;Trainingsdaten!$H$3,"",Trainingsdaten!$H$2)</f>
        <v/>
      </c>
      <c r="I458" s="7" t="str">
        <f>IF(B458&gt;Trainingsdaten!$H$3,"",I457+H458*N457*E458)</f>
        <v/>
      </c>
      <c r="J458" s="7" t="str">
        <f>IF(B458&gt;Trainingsdaten!$H$3,"",J457+H458*N457*F458)</f>
        <v/>
      </c>
      <c r="K458" s="7" t="str">
        <f>IF(B458&gt;Trainingsdaten!$H$3,"",K457+H458*N457)</f>
        <v/>
      </c>
      <c r="L458" s="7" t="str">
        <f>IF(B458&gt;Trainingsdaten!$H$3,"",E458*I458+F458*J458+K458)</f>
        <v/>
      </c>
      <c r="M458" s="7" t="str">
        <f>IF(B458&gt;Trainingsdaten!$H$3,"",IF(L458&gt;0,1,0))</f>
        <v/>
      </c>
      <c r="N458" s="7" t="str">
        <f>IF(B458&gt;Trainingsdaten!$H$3,"",G458-M458)</f>
        <v/>
      </c>
    </row>
    <row r="459" spans="1:14" x14ac:dyDescent="0.25">
      <c r="A459" s="9" t="str">
        <f>IF($B459&gt;Trainingsdaten!$H$3,"",MOD(ROW()-4,Trainingsdaten!$H$4)+1)</f>
        <v/>
      </c>
      <c r="B459" s="11" t="str">
        <f>IF(INT((ROW()-4)/Trainingsdaten!$H$4)+1&gt;Trainingsdaten!$H$3,"",INT((ROW()-4)/Trainingsdaten!$H$4)+1)</f>
        <v/>
      </c>
      <c r="C459" s="9" t="str">
        <f>IF(INT((ROW()-4)/Trainingsdaten!$H$4)+1&gt;Trainingsdaten!$H$3,"",MOD(ROW()-4,Trainingsdaten!$H$4)+1)</f>
        <v/>
      </c>
      <c r="D459" s="9" t="str">
        <f>IF($B459&gt;Trainingsdaten!$H$3,"",INDEX(Trainingsdaten!B:B,$C459+1))</f>
        <v/>
      </c>
      <c r="E459" s="7" t="str">
        <f>IF($B459&gt;Trainingsdaten!$H$3,"",INDEX(Trainingsdaten!C:C,$C459+1))</f>
        <v/>
      </c>
      <c r="F459" s="7" t="str">
        <f>IF($B459&gt;Trainingsdaten!$H$3,"",INDEX(Trainingsdaten!D:D,$C459+1))</f>
        <v/>
      </c>
      <c r="G459" s="7" t="str">
        <f>IF($B459&gt;Trainingsdaten!$H$3,"",INDEX(Trainingsdaten!E:E,$C459+1))</f>
        <v/>
      </c>
      <c r="H459" s="11" t="str">
        <f>IF($B459&gt;Trainingsdaten!$H$3,"",Trainingsdaten!$H$2)</f>
        <v/>
      </c>
      <c r="I459" s="7" t="str">
        <f>IF(B459&gt;Trainingsdaten!$H$3,"",I458+H459*N458*E459)</f>
        <v/>
      </c>
      <c r="J459" s="7" t="str">
        <f>IF(B459&gt;Trainingsdaten!$H$3,"",J458+H459*N458*F459)</f>
        <v/>
      </c>
      <c r="K459" s="7" t="str">
        <f>IF(B459&gt;Trainingsdaten!$H$3,"",K458+H459*N458)</f>
        <v/>
      </c>
      <c r="L459" s="7" t="str">
        <f>IF(B459&gt;Trainingsdaten!$H$3,"",E459*I459+F459*J459+K459)</f>
        <v/>
      </c>
      <c r="M459" s="7" t="str">
        <f>IF(B459&gt;Trainingsdaten!$H$3,"",IF(L459&gt;0,1,0))</f>
        <v/>
      </c>
      <c r="N459" s="7" t="str">
        <f>IF(B459&gt;Trainingsdaten!$H$3,"",G459-M459)</f>
        <v/>
      </c>
    </row>
    <row r="460" spans="1:14" x14ac:dyDescent="0.25">
      <c r="A460" s="9" t="str">
        <f>IF($B460&gt;Trainingsdaten!$H$3,"",MOD(ROW()-4,Trainingsdaten!$H$4)+1)</f>
        <v/>
      </c>
      <c r="B460" s="11" t="str">
        <f>IF(INT((ROW()-4)/Trainingsdaten!$H$4)+1&gt;Trainingsdaten!$H$3,"",INT((ROW()-4)/Trainingsdaten!$H$4)+1)</f>
        <v/>
      </c>
      <c r="C460" s="9" t="str">
        <f>IF(INT((ROW()-4)/Trainingsdaten!$H$4)+1&gt;Trainingsdaten!$H$3,"",MOD(ROW()-4,Trainingsdaten!$H$4)+1)</f>
        <v/>
      </c>
      <c r="D460" s="9" t="str">
        <f>IF($B460&gt;Trainingsdaten!$H$3,"",INDEX(Trainingsdaten!B:B,$C460+1))</f>
        <v/>
      </c>
      <c r="E460" s="7" t="str">
        <f>IF($B460&gt;Trainingsdaten!$H$3,"",INDEX(Trainingsdaten!C:C,$C460+1))</f>
        <v/>
      </c>
      <c r="F460" s="7" t="str">
        <f>IF($B460&gt;Trainingsdaten!$H$3,"",INDEX(Trainingsdaten!D:D,$C460+1))</f>
        <v/>
      </c>
      <c r="G460" s="7" t="str">
        <f>IF($B460&gt;Trainingsdaten!$H$3,"",INDEX(Trainingsdaten!E:E,$C460+1))</f>
        <v/>
      </c>
      <c r="H460" s="11" t="str">
        <f>IF($B460&gt;Trainingsdaten!$H$3,"",Trainingsdaten!$H$2)</f>
        <v/>
      </c>
      <c r="I460" s="7" t="str">
        <f>IF(B460&gt;Trainingsdaten!$H$3,"",I459+H460*N459*E460)</f>
        <v/>
      </c>
      <c r="J460" s="7" t="str">
        <f>IF(B460&gt;Trainingsdaten!$H$3,"",J459+H460*N459*F460)</f>
        <v/>
      </c>
      <c r="K460" s="7" t="str">
        <f>IF(B460&gt;Trainingsdaten!$H$3,"",K459+H460*N459)</f>
        <v/>
      </c>
      <c r="L460" s="7" t="str">
        <f>IF(B460&gt;Trainingsdaten!$H$3,"",E460*I460+F460*J460+K460)</f>
        <v/>
      </c>
      <c r="M460" s="7" t="str">
        <f>IF(B460&gt;Trainingsdaten!$H$3,"",IF(L460&gt;0,1,0))</f>
        <v/>
      </c>
      <c r="N460" s="7" t="str">
        <f>IF(B460&gt;Trainingsdaten!$H$3,"",G460-M460)</f>
        <v/>
      </c>
    </row>
    <row r="461" spans="1:14" x14ac:dyDescent="0.25">
      <c r="A461" s="9" t="str">
        <f>IF($B461&gt;Trainingsdaten!$H$3,"",MOD(ROW()-4,Trainingsdaten!$H$4)+1)</f>
        <v/>
      </c>
      <c r="B461" s="11" t="str">
        <f>IF(INT((ROW()-4)/Trainingsdaten!$H$4)+1&gt;Trainingsdaten!$H$3,"",INT((ROW()-4)/Trainingsdaten!$H$4)+1)</f>
        <v/>
      </c>
      <c r="C461" s="9" t="str">
        <f>IF(INT((ROW()-4)/Trainingsdaten!$H$4)+1&gt;Trainingsdaten!$H$3,"",MOD(ROW()-4,Trainingsdaten!$H$4)+1)</f>
        <v/>
      </c>
      <c r="D461" s="9" t="str">
        <f>IF($B461&gt;Trainingsdaten!$H$3,"",INDEX(Trainingsdaten!B:B,$C461+1))</f>
        <v/>
      </c>
      <c r="E461" s="7" t="str">
        <f>IF($B461&gt;Trainingsdaten!$H$3,"",INDEX(Trainingsdaten!C:C,$C461+1))</f>
        <v/>
      </c>
      <c r="F461" s="7" t="str">
        <f>IF($B461&gt;Trainingsdaten!$H$3,"",INDEX(Trainingsdaten!D:D,$C461+1))</f>
        <v/>
      </c>
      <c r="G461" s="7" t="str">
        <f>IF($B461&gt;Trainingsdaten!$H$3,"",INDEX(Trainingsdaten!E:E,$C461+1))</f>
        <v/>
      </c>
      <c r="H461" s="11" t="str">
        <f>IF($B461&gt;Trainingsdaten!$H$3,"",Trainingsdaten!$H$2)</f>
        <v/>
      </c>
      <c r="I461" s="7" t="str">
        <f>IF(B461&gt;Trainingsdaten!$H$3,"",I460+H461*N460*E461)</f>
        <v/>
      </c>
      <c r="J461" s="7" t="str">
        <f>IF(B461&gt;Trainingsdaten!$H$3,"",J460+H461*N460*F461)</f>
        <v/>
      </c>
      <c r="K461" s="7" t="str">
        <f>IF(B461&gt;Trainingsdaten!$H$3,"",K460+H461*N460)</f>
        <v/>
      </c>
      <c r="L461" s="7" t="str">
        <f>IF(B461&gt;Trainingsdaten!$H$3,"",E461*I461+F461*J461+K461)</f>
        <v/>
      </c>
      <c r="M461" s="7" t="str">
        <f>IF(B461&gt;Trainingsdaten!$H$3,"",IF(L461&gt;0,1,0))</f>
        <v/>
      </c>
      <c r="N461" s="7" t="str">
        <f>IF(B461&gt;Trainingsdaten!$H$3,"",G461-M461)</f>
        <v/>
      </c>
    </row>
    <row r="462" spans="1:14" x14ac:dyDescent="0.25">
      <c r="A462" s="9" t="str">
        <f>IF($B462&gt;Trainingsdaten!$H$3,"",MOD(ROW()-4,Trainingsdaten!$H$4)+1)</f>
        <v/>
      </c>
      <c r="B462" s="11" t="str">
        <f>IF(INT((ROW()-4)/Trainingsdaten!$H$4)+1&gt;Trainingsdaten!$H$3,"",INT((ROW()-4)/Trainingsdaten!$H$4)+1)</f>
        <v/>
      </c>
      <c r="C462" s="9" t="str">
        <f>IF(INT((ROW()-4)/Trainingsdaten!$H$4)+1&gt;Trainingsdaten!$H$3,"",MOD(ROW()-4,Trainingsdaten!$H$4)+1)</f>
        <v/>
      </c>
      <c r="D462" s="9" t="str">
        <f>IF($B462&gt;Trainingsdaten!$H$3,"",INDEX(Trainingsdaten!B:B,$C462+1))</f>
        <v/>
      </c>
      <c r="E462" s="7" t="str">
        <f>IF($B462&gt;Trainingsdaten!$H$3,"",INDEX(Trainingsdaten!C:C,$C462+1))</f>
        <v/>
      </c>
      <c r="F462" s="7" t="str">
        <f>IF($B462&gt;Trainingsdaten!$H$3,"",INDEX(Trainingsdaten!D:D,$C462+1))</f>
        <v/>
      </c>
      <c r="G462" s="7" t="str">
        <f>IF($B462&gt;Trainingsdaten!$H$3,"",INDEX(Trainingsdaten!E:E,$C462+1))</f>
        <v/>
      </c>
      <c r="H462" s="11" t="str">
        <f>IF($B462&gt;Trainingsdaten!$H$3,"",Trainingsdaten!$H$2)</f>
        <v/>
      </c>
      <c r="I462" s="7" t="str">
        <f>IF(B462&gt;Trainingsdaten!$H$3,"",I461+H462*N461*E462)</f>
        <v/>
      </c>
      <c r="J462" s="7" t="str">
        <f>IF(B462&gt;Trainingsdaten!$H$3,"",J461+H462*N461*F462)</f>
        <v/>
      </c>
      <c r="K462" s="7" t="str">
        <f>IF(B462&gt;Trainingsdaten!$H$3,"",K461+H462*N461)</f>
        <v/>
      </c>
      <c r="L462" s="7" t="str">
        <f>IF(B462&gt;Trainingsdaten!$H$3,"",E462*I462+F462*J462+K462)</f>
        <v/>
      </c>
      <c r="M462" s="7" t="str">
        <f>IF(B462&gt;Trainingsdaten!$H$3,"",IF(L462&gt;0,1,0))</f>
        <v/>
      </c>
      <c r="N462" s="7" t="str">
        <f>IF(B462&gt;Trainingsdaten!$H$3,"",G462-M462)</f>
        <v/>
      </c>
    </row>
    <row r="463" spans="1:14" x14ac:dyDescent="0.25">
      <c r="A463" s="9" t="str">
        <f>IF($B463&gt;Trainingsdaten!$H$3,"",MOD(ROW()-4,Trainingsdaten!$H$4)+1)</f>
        <v/>
      </c>
      <c r="B463" s="11" t="str">
        <f>IF(INT((ROW()-4)/Trainingsdaten!$H$4)+1&gt;Trainingsdaten!$H$3,"",INT((ROW()-4)/Trainingsdaten!$H$4)+1)</f>
        <v/>
      </c>
      <c r="C463" s="9" t="str">
        <f>IF(INT((ROW()-4)/Trainingsdaten!$H$4)+1&gt;Trainingsdaten!$H$3,"",MOD(ROW()-4,Trainingsdaten!$H$4)+1)</f>
        <v/>
      </c>
      <c r="D463" s="9" t="str">
        <f>IF($B463&gt;Trainingsdaten!$H$3,"",INDEX(Trainingsdaten!B:B,$C463+1))</f>
        <v/>
      </c>
      <c r="E463" s="7" t="str">
        <f>IF($B463&gt;Trainingsdaten!$H$3,"",INDEX(Trainingsdaten!C:C,$C463+1))</f>
        <v/>
      </c>
      <c r="F463" s="7" t="str">
        <f>IF($B463&gt;Trainingsdaten!$H$3,"",INDEX(Trainingsdaten!D:D,$C463+1))</f>
        <v/>
      </c>
      <c r="G463" s="7" t="str">
        <f>IF($B463&gt;Trainingsdaten!$H$3,"",INDEX(Trainingsdaten!E:E,$C463+1))</f>
        <v/>
      </c>
      <c r="H463" s="11" t="str">
        <f>IF($B463&gt;Trainingsdaten!$H$3,"",Trainingsdaten!$H$2)</f>
        <v/>
      </c>
      <c r="I463" s="7" t="str">
        <f>IF(B463&gt;Trainingsdaten!$H$3,"",I462+H463*N462*E463)</f>
        <v/>
      </c>
      <c r="J463" s="7" t="str">
        <f>IF(B463&gt;Trainingsdaten!$H$3,"",J462+H463*N462*F463)</f>
        <v/>
      </c>
      <c r="K463" s="7" t="str">
        <f>IF(B463&gt;Trainingsdaten!$H$3,"",K462+H463*N462)</f>
        <v/>
      </c>
      <c r="L463" s="7" t="str">
        <f>IF(B463&gt;Trainingsdaten!$H$3,"",E463*I463+F463*J463+K463)</f>
        <v/>
      </c>
      <c r="M463" s="7" t="str">
        <f>IF(B463&gt;Trainingsdaten!$H$3,"",IF(L463&gt;0,1,0))</f>
        <v/>
      </c>
      <c r="N463" s="7" t="str">
        <f>IF(B463&gt;Trainingsdaten!$H$3,"",G463-M463)</f>
        <v/>
      </c>
    </row>
    <row r="464" spans="1:14" x14ac:dyDescent="0.25">
      <c r="A464" s="9" t="str">
        <f>IF($B464&gt;Trainingsdaten!$H$3,"",MOD(ROW()-4,Trainingsdaten!$H$4)+1)</f>
        <v/>
      </c>
      <c r="B464" s="11" t="str">
        <f>IF(INT((ROW()-4)/Trainingsdaten!$H$4)+1&gt;Trainingsdaten!$H$3,"",INT((ROW()-4)/Trainingsdaten!$H$4)+1)</f>
        <v/>
      </c>
      <c r="C464" s="9" t="str">
        <f>IF(INT((ROW()-4)/Trainingsdaten!$H$4)+1&gt;Trainingsdaten!$H$3,"",MOD(ROW()-4,Trainingsdaten!$H$4)+1)</f>
        <v/>
      </c>
      <c r="D464" s="9" t="str">
        <f>IF($B464&gt;Trainingsdaten!$H$3,"",INDEX(Trainingsdaten!B:B,$C464+1))</f>
        <v/>
      </c>
      <c r="E464" s="7" t="str">
        <f>IF($B464&gt;Trainingsdaten!$H$3,"",INDEX(Trainingsdaten!C:C,$C464+1))</f>
        <v/>
      </c>
      <c r="F464" s="7" t="str">
        <f>IF($B464&gt;Trainingsdaten!$H$3,"",INDEX(Trainingsdaten!D:D,$C464+1))</f>
        <v/>
      </c>
      <c r="G464" s="7" t="str">
        <f>IF($B464&gt;Trainingsdaten!$H$3,"",INDEX(Trainingsdaten!E:E,$C464+1))</f>
        <v/>
      </c>
      <c r="H464" s="11" t="str">
        <f>IF($B464&gt;Trainingsdaten!$H$3,"",Trainingsdaten!$H$2)</f>
        <v/>
      </c>
      <c r="I464" s="7" t="str">
        <f>IF(B464&gt;Trainingsdaten!$H$3,"",I463+H464*N463*E464)</f>
        <v/>
      </c>
      <c r="J464" s="7" t="str">
        <f>IF(B464&gt;Trainingsdaten!$H$3,"",J463+H464*N463*F464)</f>
        <v/>
      </c>
      <c r="K464" s="7" t="str">
        <f>IF(B464&gt;Trainingsdaten!$H$3,"",K463+H464*N463)</f>
        <v/>
      </c>
      <c r="L464" s="7" t="str">
        <f>IF(B464&gt;Trainingsdaten!$H$3,"",E464*I464+F464*J464+K464)</f>
        <v/>
      </c>
      <c r="M464" s="7" t="str">
        <f>IF(B464&gt;Trainingsdaten!$H$3,"",IF(L464&gt;0,1,0))</f>
        <v/>
      </c>
      <c r="N464" s="7" t="str">
        <f>IF(B464&gt;Trainingsdaten!$H$3,"",G464-M464)</f>
        <v/>
      </c>
    </row>
    <row r="465" spans="1:14" x14ac:dyDescent="0.25">
      <c r="A465" s="9" t="str">
        <f>IF($B465&gt;Trainingsdaten!$H$3,"",MOD(ROW()-4,Trainingsdaten!$H$4)+1)</f>
        <v/>
      </c>
      <c r="B465" s="11" t="str">
        <f>IF(INT((ROW()-4)/Trainingsdaten!$H$4)+1&gt;Trainingsdaten!$H$3,"",INT((ROW()-4)/Trainingsdaten!$H$4)+1)</f>
        <v/>
      </c>
      <c r="C465" s="9" t="str">
        <f>IF(INT((ROW()-4)/Trainingsdaten!$H$4)+1&gt;Trainingsdaten!$H$3,"",MOD(ROW()-4,Trainingsdaten!$H$4)+1)</f>
        <v/>
      </c>
      <c r="D465" s="9" t="str">
        <f>IF($B465&gt;Trainingsdaten!$H$3,"",INDEX(Trainingsdaten!B:B,$C465+1))</f>
        <v/>
      </c>
      <c r="E465" s="7" t="str">
        <f>IF($B465&gt;Trainingsdaten!$H$3,"",INDEX(Trainingsdaten!C:C,$C465+1))</f>
        <v/>
      </c>
      <c r="F465" s="7" t="str">
        <f>IF($B465&gt;Trainingsdaten!$H$3,"",INDEX(Trainingsdaten!D:D,$C465+1))</f>
        <v/>
      </c>
      <c r="G465" s="7" t="str">
        <f>IF($B465&gt;Trainingsdaten!$H$3,"",INDEX(Trainingsdaten!E:E,$C465+1))</f>
        <v/>
      </c>
      <c r="H465" s="11" t="str">
        <f>IF($B465&gt;Trainingsdaten!$H$3,"",Trainingsdaten!$H$2)</f>
        <v/>
      </c>
      <c r="I465" s="7" t="str">
        <f>IF(B465&gt;Trainingsdaten!$H$3,"",I464+H465*N464*E465)</f>
        <v/>
      </c>
      <c r="J465" s="7" t="str">
        <f>IF(B465&gt;Trainingsdaten!$H$3,"",J464+H465*N464*F465)</f>
        <v/>
      </c>
      <c r="K465" s="7" t="str">
        <f>IF(B465&gt;Trainingsdaten!$H$3,"",K464+H465*N464)</f>
        <v/>
      </c>
      <c r="L465" s="7" t="str">
        <f>IF(B465&gt;Trainingsdaten!$H$3,"",E465*I465+F465*J465+K465)</f>
        <v/>
      </c>
      <c r="M465" s="7" t="str">
        <f>IF(B465&gt;Trainingsdaten!$H$3,"",IF(L465&gt;0,1,0))</f>
        <v/>
      </c>
      <c r="N465" s="7" t="str">
        <f>IF(B465&gt;Trainingsdaten!$H$3,"",G465-M465)</f>
        <v/>
      </c>
    </row>
    <row r="466" spans="1:14" x14ac:dyDescent="0.25">
      <c r="A466" s="9" t="str">
        <f>IF($B466&gt;Trainingsdaten!$H$3,"",MOD(ROW()-4,Trainingsdaten!$H$4)+1)</f>
        <v/>
      </c>
      <c r="B466" s="11" t="str">
        <f>IF(INT((ROW()-4)/Trainingsdaten!$H$4)+1&gt;Trainingsdaten!$H$3,"",INT((ROW()-4)/Trainingsdaten!$H$4)+1)</f>
        <v/>
      </c>
      <c r="C466" s="9" t="str">
        <f>IF(INT((ROW()-4)/Trainingsdaten!$H$4)+1&gt;Trainingsdaten!$H$3,"",MOD(ROW()-4,Trainingsdaten!$H$4)+1)</f>
        <v/>
      </c>
      <c r="D466" s="9" t="str">
        <f>IF($B466&gt;Trainingsdaten!$H$3,"",INDEX(Trainingsdaten!B:B,$C466+1))</f>
        <v/>
      </c>
      <c r="E466" s="7" t="str">
        <f>IF($B466&gt;Trainingsdaten!$H$3,"",INDEX(Trainingsdaten!C:C,$C466+1))</f>
        <v/>
      </c>
      <c r="F466" s="7" t="str">
        <f>IF($B466&gt;Trainingsdaten!$H$3,"",INDEX(Trainingsdaten!D:D,$C466+1))</f>
        <v/>
      </c>
      <c r="G466" s="7" t="str">
        <f>IF($B466&gt;Trainingsdaten!$H$3,"",INDEX(Trainingsdaten!E:E,$C466+1))</f>
        <v/>
      </c>
      <c r="H466" s="11" t="str">
        <f>IF($B466&gt;Trainingsdaten!$H$3,"",Trainingsdaten!$H$2)</f>
        <v/>
      </c>
      <c r="I466" s="7" t="str">
        <f>IF(B466&gt;Trainingsdaten!$H$3,"",I465+H466*N465*E466)</f>
        <v/>
      </c>
      <c r="J466" s="7" t="str">
        <f>IF(B466&gt;Trainingsdaten!$H$3,"",J465+H466*N465*F466)</f>
        <v/>
      </c>
      <c r="K466" s="7" t="str">
        <f>IF(B466&gt;Trainingsdaten!$H$3,"",K465+H466*N465)</f>
        <v/>
      </c>
      <c r="L466" s="7" t="str">
        <f>IF(B466&gt;Trainingsdaten!$H$3,"",E466*I466+F466*J466+K466)</f>
        <v/>
      </c>
      <c r="M466" s="7" t="str">
        <f>IF(B466&gt;Trainingsdaten!$H$3,"",IF(L466&gt;0,1,0))</f>
        <v/>
      </c>
      <c r="N466" s="7" t="str">
        <f>IF(B466&gt;Trainingsdaten!$H$3,"",G466-M466)</f>
        <v/>
      </c>
    </row>
    <row r="467" spans="1:14" x14ac:dyDescent="0.25">
      <c r="A467" s="9" t="str">
        <f>IF($B467&gt;Trainingsdaten!$H$3,"",MOD(ROW()-4,Trainingsdaten!$H$4)+1)</f>
        <v/>
      </c>
      <c r="B467" s="11" t="str">
        <f>IF(INT((ROW()-4)/Trainingsdaten!$H$4)+1&gt;Trainingsdaten!$H$3,"",INT((ROW()-4)/Trainingsdaten!$H$4)+1)</f>
        <v/>
      </c>
      <c r="C467" s="9" t="str">
        <f>IF(INT((ROW()-4)/Trainingsdaten!$H$4)+1&gt;Trainingsdaten!$H$3,"",MOD(ROW()-4,Trainingsdaten!$H$4)+1)</f>
        <v/>
      </c>
      <c r="D467" s="9" t="str">
        <f>IF($B467&gt;Trainingsdaten!$H$3,"",INDEX(Trainingsdaten!B:B,$C467+1))</f>
        <v/>
      </c>
      <c r="E467" s="7" t="str">
        <f>IF($B467&gt;Trainingsdaten!$H$3,"",INDEX(Trainingsdaten!C:C,$C467+1))</f>
        <v/>
      </c>
      <c r="F467" s="7" t="str">
        <f>IF($B467&gt;Trainingsdaten!$H$3,"",INDEX(Trainingsdaten!D:D,$C467+1))</f>
        <v/>
      </c>
      <c r="G467" s="7" t="str">
        <f>IF($B467&gt;Trainingsdaten!$H$3,"",INDEX(Trainingsdaten!E:E,$C467+1))</f>
        <v/>
      </c>
      <c r="H467" s="11" t="str">
        <f>IF($B467&gt;Trainingsdaten!$H$3,"",Trainingsdaten!$H$2)</f>
        <v/>
      </c>
      <c r="I467" s="7" t="str">
        <f>IF(B467&gt;Trainingsdaten!$H$3,"",I466+H467*N466*E467)</f>
        <v/>
      </c>
      <c r="J467" s="7" t="str">
        <f>IF(B467&gt;Trainingsdaten!$H$3,"",J466+H467*N466*F467)</f>
        <v/>
      </c>
      <c r="K467" s="7" t="str">
        <f>IF(B467&gt;Trainingsdaten!$H$3,"",K466+H467*N466)</f>
        <v/>
      </c>
      <c r="L467" s="7" t="str">
        <f>IF(B467&gt;Trainingsdaten!$H$3,"",E467*I467+F467*J467+K467)</f>
        <v/>
      </c>
      <c r="M467" s="7" t="str">
        <f>IF(B467&gt;Trainingsdaten!$H$3,"",IF(L467&gt;0,1,0))</f>
        <v/>
      </c>
      <c r="N467" s="7" t="str">
        <f>IF(B467&gt;Trainingsdaten!$H$3,"",G467-M467)</f>
        <v/>
      </c>
    </row>
    <row r="468" spans="1:14" x14ac:dyDescent="0.25">
      <c r="A468" s="9" t="str">
        <f>IF($B468&gt;Trainingsdaten!$H$3,"",MOD(ROW()-4,Trainingsdaten!$H$4)+1)</f>
        <v/>
      </c>
      <c r="B468" s="11" t="str">
        <f>IF(INT((ROW()-4)/Trainingsdaten!$H$4)+1&gt;Trainingsdaten!$H$3,"",INT((ROW()-4)/Trainingsdaten!$H$4)+1)</f>
        <v/>
      </c>
      <c r="C468" s="9" t="str">
        <f>IF(INT((ROW()-4)/Trainingsdaten!$H$4)+1&gt;Trainingsdaten!$H$3,"",MOD(ROW()-4,Trainingsdaten!$H$4)+1)</f>
        <v/>
      </c>
      <c r="D468" s="9" t="str">
        <f>IF($B468&gt;Trainingsdaten!$H$3,"",INDEX(Trainingsdaten!B:B,$C468+1))</f>
        <v/>
      </c>
      <c r="E468" s="7" t="str">
        <f>IF($B468&gt;Trainingsdaten!$H$3,"",INDEX(Trainingsdaten!C:C,$C468+1))</f>
        <v/>
      </c>
      <c r="F468" s="7" t="str">
        <f>IF($B468&gt;Trainingsdaten!$H$3,"",INDEX(Trainingsdaten!D:D,$C468+1))</f>
        <v/>
      </c>
      <c r="G468" s="7" t="str">
        <f>IF($B468&gt;Trainingsdaten!$H$3,"",INDEX(Trainingsdaten!E:E,$C468+1))</f>
        <v/>
      </c>
      <c r="H468" s="11" t="str">
        <f>IF($B468&gt;Trainingsdaten!$H$3,"",Trainingsdaten!$H$2)</f>
        <v/>
      </c>
      <c r="I468" s="7" t="str">
        <f>IF(B468&gt;Trainingsdaten!$H$3,"",I467+H468*N467*E468)</f>
        <v/>
      </c>
      <c r="J468" s="7" t="str">
        <f>IF(B468&gt;Trainingsdaten!$H$3,"",J467+H468*N467*F468)</f>
        <v/>
      </c>
      <c r="K468" s="7" t="str">
        <f>IF(B468&gt;Trainingsdaten!$H$3,"",K467+H468*N467)</f>
        <v/>
      </c>
      <c r="L468" s="7" t="str">
        <f>IF(B468&gt;Trainingsdaten!$H$3,"",E468*I468+F468*J468+K468)</f>
        <v/>
      </c>
      <c r="M468" s="7" t="str">
        <f>IF(B468&gt;Trainingsdaten!$H$3,"",IF(L468&gt;0,1,0))</f>
        <v/>
      </c>
      <c r="N468" s="7" t="str">
        <f>IF(B468&gt;Trainingsdaten!$H$3,"",G468-M468)</f>
        <v/>
      </c>
    </row>
    <row r="469" spans="1:14" x14ac:dyDescent="0.25">
      <c r="A469" s="9" t="str">
        <f>IF($B469&gt;Trainingsdaten!$H$3,"",MOD(ROW()-4,Trainingsdaten!$H$4)+1)</f>
        <v/>
      </c>
      <c r="B469" s="11" t="str">
        <f>IF(INT((ROW()-4)/Trainingsdaten!$H$4)+1&gt;Trainingsdaten!$H$3,"",INT((ROW()-4)/Trainingsdaten!$H$4)+1)</f>
        <v/>
      </c>
      <c r="C469" s="9" t="str">
        <f>IF(INT((ROW()-4)/Trainingsdaten!$H$4)+1&gt;Trainingsdaten!$H$3,"",MOD(ROW()-4,Trainingsdaten!$H$4)+1)</f>
        <v/>
      </c>
      <c r="D469" s="9" t="str">
        <f>IF($B469&gt;Trainingsdaten!$H$3,"",INDEX(Trainingsdaten!B:B,$C469+1))</f>
        <v/>
      </c>
      <c r="E469" s="7" t="str">
        <f>IF($B469&gt;Trainingsdaten!$H$3,"",INDEX(Trainingsdaten!C:C,$C469+1))</f>
        <v/>
      </c>
      <c r="F469" s="7" t="str">
        <f>IF($B469&gt;Trainingsdaten!$H$3,"",INDEX(Trainingsdaten!D:D,$C469+1))</f>
        <v/>
      </c>
      <c r="G469" s="7" t="str">
        <f>IF($B469&gt;Trainingsdaten!$H$3,"",INDEX(Trainingsdaten!E:E,$C469+1))</f>
        <v/>
      </c>
      <c r="H469" s="11" t="str">
        <f>IF($B469&gt;Trainingsdaten!$H$3,"",Trainingsdaten!$H$2)</f>
        <v/>
      </c>
      <c r="I469" s="7" t="str">
        <f>IF(B469&gt;Trainingsdaten!$H$3,"",I468+H469*N468*E469)</f>
        <v/>
      </c>
      <c r="J469" s="7" t="str">
        <f>IF(B469&gt;Trainingsdaten!$H$3,"",J468+H469*N468*F469)</f>
        <v/>
      </c>
      <c r="K469" s="7" t="str">
        <f>IF(B469&gt;Trainingsdaten!$H$3,"",K468+H469*N468)</f>
        <v/>
      </c>
      <c r="L469" s="7" t="str">
        <f>IF(B469&gt;Trainingsdaten!$H$3,"",E469*I469+F469*J469+K469)</f>
        <v/>
      </c>
      <c r="M469" s="7" t="str">
        <f>IF(B469&gt;Trainingsdaten!$H$3,"",IF(L469&gt;0,1,0))</f>
        <v/>
      </c>
      <c r="N469" s="7" t="str">
        <f>IF(B469&gt;Trainingsdaten!$H$3,"",G469-M469)</f>
        <v/>
      </c>
    </row>
    <row r="470" spans="1:14" x14ac:dyDescent="0.25">
      <c r="A470" s="9" t="str">
        <f>IF($B470&gt;Trainingsdaten!$H$3,"",MOD(ROW()-4,Trainingsdaten!$H$4)+1)</f>
        <v/>
      </c>
      <c r="B470" s="11" t="str">
        <f>IF(INT((ROW()-4)/Trainingsdaten!$H$4)+1&gt;Trainingsdaten!$H$3,"",INT((ROW()-4)/Trainingsdaten!$H$4)+1)</f>
        <v/>
      </c>
      <c r="C470" s="9" t="str">
        <f>IF(INT((ROW()-4)/Trainingsdaten!$H$4)+1&gt;Trainingsdaten!$H$3,"",MOD(ROW()-4,Trainingsdaten!$H$4)+1)</f>
        <v/>
      </c>
      <c r="D470" s="9" t="str">
        <f>IF($B470&gt;Trainingsdaten!$H$3,"",INDEX(Trainingsdaten!B:B,$C470+1))</f>
        <v/>
      </c>
      <c r="E470" s="7" t="str">
        <f>IF($B470&gt;Trainingsdaten!$H$3,"",INDEX(Trainingsdaten!C:C,$C470+1))</f>
        <v/>
      </c>
      <c r="F470" s="7" t="str">
        <f>IF($B470&gt;Trainingsdaten!$H$3,"",INDEX(Trainingsdaten!D:D,$C470+1))</f>
        <v/>
      </c>
      <c r="G470" s="7" t="str">
        <f>IF($B470&gt;Trainingsdaten!$H$3,"",INDEX(Trainingsdaten!E:E,$C470+1))</f>
        <v/>
      </c>
      <c r="H470" s="11" t="str">
        <f>IF($B470&gt;Trainingsdaten!$H$3,"",Trainingsdaten!$H$2)</f>
        <v/>
      </c>
      <c r="I470" s="7" t="str">
        <f>IF(B470&gt;Trainingsdaten!$H$3,"",I469+H470*N469*E470)</f>
        <v/>
      </c>
      <c r="J470" s="7" t="str">
        <f>IF(B470&gt;Trainingsdaten!$H$3,"",J469+H470*N469*F470)</f>
        <v/>
      </c>
      <c r="K470" s="7" t="str">
        <f>IF(B470&gt;Trainingsdaten!$H$3,"",K469+H470*N469)</f>
        <v/>
      </c>
      <c r="L470" s="7" t="str">
        <f>IF(B470&gt;Trainingsdaten!$H$3,"",E470*I470+F470*J470+K470)</f>
        <v/>
      </c>
      <c r="M470" s="7" t="str">
        <f>IF(B470&gt;Trainingsdaten!$H$3,"",IF(L470&gt;0,1,0))</f>
        <v/>
      </c>
      <c r="N470" s="7" t="str">
        <f>IF(B470&gt;Trainingsdaten!$H$3,"",G470-M470)</f>
        <v/>
      </c>
    </row>
    <row r="471" spans="1:14" x14ac:dyDescent="0.25">
      <c r="A471" s="9" t="str">
        <f>IF($B471&gt;Trainingsdaten!$H$3,"",MOD(ROW()-4,Trainingsdaten!$H$4)+1)</f>
        <v/>
      </c>
      <c r="B471" s="11" t="str">
        <f>IF(INT((ROW()-4)/Trainingsdaten!$H$4)+1&gt;Trainingsdaten!$H$3,"",INT((ROW()-4)/Trainingsdaten!$H$4)+1)</f>
        <v/>
      </c>
      <c r="C471" s="9" t="str">
        <f>IF(INT((ROW()-4)/Trainingsdaten!$H$4)+1&gt;Trainingsdaten!$H$3,"",MOD(ROW()-4,Trainingsdaten!$H$4)+1)</f>
        <v/>
      </c>
      <c r="D471" s="9" t="str">
        <f>IF($B471&gt;Trainingsdaten!$H$3,"",INDEX(Trainingsdaten!B:B,$C471+1))</f>
        <v/>
      </c>
      <c r="E471" s="7" t="str">
        <f>IF($B471&gt;Trainingsdaten!$H$3,"",INDEX(Trainingsdaten!C:C,$C471+1))</f>
        <v/>
      </c>
      <c r="F471" s="7" t="str">
        <f>IF($B471&gt;Trainingsdaten!$H$3,"",INDEX(Trainingsdaten!D:D,$C471+1))</f>
        <v/>
      </c>
      <c r="G471" s="7" t="str">
        <f>IF($B471&gt;Trainingsdaten!$H$3,"",INDEX(Trainingsdaten!E:E,$C471+1))</f>
        <v/>
      </c>
      <c r="H471" s="11" t="str">
        <f>IF($B471&gt;Trainingsdaten!$H$3,"",Trainingsdaten!$H$2)</f>
        <v/>
      </c>
      <c r="I471" s="7" t="str">
        <f>IF(B471&gt;Trainingsdaten!$H$3,"",I470+H471*N470*E471)</f>
        <v/>
      </c>
      <c r="J471" s="7" t="str">
        <f>IF(B471&gt;Trainingsdaten!$H$3,"",J470+H471*N470*F471)</f>
        <v/>
      </c>
      <c r="K471" s="7" t="str">
        <f>IF(B471&gt;Trainingsdaten!$H$3,"",K470+H471*N470)</f>
        <v/>
      </c>
      <c r="L471" s="7" t="str">
        <f>IF(B471&gt;Trainingsdaten!$H$3,"",E471*I471+F471*J471+K471)</f>
        <v/>
      </c>
      <c r="M471" s="7" t="str">
        <f>IF(B471&gt;Trainingsdaten!$H$3,"",IF(L471&gt;0,1,0))</f>
        <v/>
      </c>
      <c r="N471" s="7" t="str">
        <f>IF(B471&gt;Trainingsdaten!$H$3,"",G471-M471)</f>
        <v/>
      </c>
    </row>
    <row r="472" spans="1:14" x14ac:dyDescent="0.25">
      <c r="A472" s="9" t="str">
        <f>IF($B472&gt;Trainingsdaten!$H$3,"",MOD(ROW()-4,Trainingsdaten!$H$4)+1)</f>
        <v/>
      </c>
      <c r="B472" s="11" t="str">
        <f>IF(INT((ROW()-4)/Trainingsdaten!$H$4)+1&gt;Trainingsdaten!$H$3,"",INT((ROW()-4)/Trainingsdaten!$H$4)+1)</f>
        <v/>
      </c>
      <c r="C472" s="9" t="str">
        <f>IF(INT((ROW()-4)/Trainingsdaten!$H$4)+1&gt;Trainingsdaten!$H$3,"",MOD(ROW()-4,Trainingsdaten!$H$4)+1)</f>
        <v/>
      </c>
      <c r="D472" s="9" t="str">
        <f>IF($B472&gt;Trainingsdaten!$H$3,"",INDEX(Trainingsdaten!B:B,$C472+1))</f>
        <v/>
      </c>
      <c r="E472" s="7" t="str">
        <f>IF($B472&gt;Trainingsdaten!$H$3,"",INDEX(Trainingsdaten!C:C,$C472+1))</f>
        <v/>
      </c>
      <c r="F472" s="7" t="str">
        <f>IF($B472&gt;Trainingsdaten!$H$3,"",INDEX(Trainingsdaten!D:D,$C472+1))</f>
        <v/>
      </c>
      <c r="G472" s="7" t="str">
        <f>IF($B472&gt;Trainingsdaten!$H$3,"",INDEX(Trainingsdaten!E:E,$C472+1))</f>
        <v/>
      </c>
      <c r="H472" s="11" t="str">
        <f>IF($B472&gt;Trainingsdaten!$H$3,"",Trainingsdaten!$H$2)</f>
        <v/>
      </c>
      <c r="I472" s="7" t="str">
        <f>IF(B472&gt;Trainingsdaten!$H$3,"",I471+H472*N471*E472)</f>
        <v/>
      </c>
      <c r="J472" s="7" t="str">
        <f>IF(B472&gt;Trainingsdaten!$H$3,"",J471+H472*N471*F472)</f>
        <v/>
      </c>
      <c r="K472" s="7" t="str">
        <f>IF(B472&gt;Trainingsdaten!$H$3,"",K471+H472*N471)</f>
        <v/>
      </c>
      <c r="L472" s="7" t="str">
        <f>IF(B472&gt;Trainingsdaten!$H$3,"",E472*I472+F472*J472+K472)</f>
        <v/>
      </c>
      <c r="M472" s="7" t="str">
        <f>IF(B472&gt;Trainingsdaten!$H$3,"",IF(L472&gt;0,1,0))</f>
        <v/>
      </c>
      <c r="N472" s="7" t="str">
        <f>IF(B472&gt;Trainingsdaten!$H$3,"",G472-M472)</f>
        <v/>
      </c>
    </row>
    <row r="473" spans="1:14" x14ac:dyDescent="0.25">
      <c r="A473" s="9" t="str">
        <f>IF($B473&gt;Trainingsdaten!$H$3,"",MOD(ROW()-4,Trainingsdaten!$H$4)+1)</f>
        <v/>
      </c>
      <c r="B473" s="11" t="str">
        <f>IF(INT((ROW()-4)/Trainingsdaten!$H$4)+1&gt;Trainingsdaten!$H$3,"",INT((ROW()-4)/Trainingsdaten!$H$4)+1)</f>
        <v/>
      </c>
      <c r="C473" s="9" t="str">
        <f>IF(INT((ROW()-4)/Trainingsdaten!$H$4)+1&gt;Trainingsdaten!$H$3,"",MOD(ROW()-4,Trainingsdaten!$H$4)+1)</f>
        <v/>
      </c>
      <c r="D473" s="9" t="str">
        <f>IF($B473&gt;Trainingsdaten!$H$3,"",INDEX(Trainingsdaten!B:B,$C473+1))</f>
        <v/>
      </c>
      <c r="E473" s="7" t="str">
        <f>IF($B473&gt;Trainingsdaten!$H$3,"",INDEX(Trainingsdaten!C:C,$C473+1))</f>
        <v/>
      </c>
      <c r="F473" s="7" t="str">
        <f>IF($B473&gt;Trainingsdaten!$H$3,"",INDEX(Trainingsdaten!D:D,$C473+1))</f>
        <v/>
      </c>
      <c r="G473" s="7" t="str">
        <f>IF($B473&gt;Trainingsdaten!$H$3,"",INDEX(Trainingsdaten!E:E,$C473+1))</f>
        <v/>
      </c>
      <c r="H473" s="11" t="str">
        <f>IF($B473&gt;Trainingsdaten!$H$3,"",Trainingsdaten!$H$2)</f>
        <v/>
      </c>
      <c r="I473" s="7" t="str">
        <f>IF(B473&gt;Trainingsdaten!$H$3,"",I472+H473*N472*E473)</f>
        <v/>
      </c>
      <c r="J473" s="7" t="str">
        <f>IF(B473&gt;Trainingsdaten!$H$3,"",J472+H473*N472*F473)</f>
        <v/>
      </c>
      <c r="K473" s="7" t="str">
        <f>IF(B473&gt;Trainingsdaten!$H$3,"",K472+H473*N472)</f>
        <v/>
      </c>
      <c r="L473" s="7" t="str">
        <f>IF(B473&gt;Trainingsdaten!$H$3,"",E473*I473+F473*J473+K473)</f>
        <v/>
      </c>
      <c r="M473" s="7" t="str">
        <f>IF(B473&gt;Trainingsdaten!$H$3,"",IF(L473&gt;0,1,0))</f>
        <v/>
      </c>
      <c r="N473" s="7" t="str">
        <f>IF(B473&gt;Trainingsdaten!$H$3,"",G473-M473)</f>
        <v/>
      </c>
    </row>
    <row r="474" spans="1:14" x14ac:dyDescent="0.25">
      <c r="A474" s="9" t="str">
        <f>IF($B474&gt;Trainingsdaten!$H$3,"",MOD(ROW()-4,Trainingsdaten!$H$4)+1)</f>
        <v/>
      </c>
      <c r="B474" s="11" t="str">
        <f>IF(INT((ROW()-4)/Trainingsdaten!$H$4)+1&gt;Trainingsdaten!$H$3,"",INT((ROW()-4)/Trainingsdaten!$H$4)+1)</f>
        <v/>
      </c>
      <c r="C474" s="9" t="str">
        <f>IF(INT((ROW()-4)/Trainingsdaten!$H$4)+1&gt;Trainingsdaten!$H$3,"",MOD(ROW()-4,Trainingsdaten!$H$4)+1)</f>
        <v/>
      </c>
      <c r="D474" s="9" t="str">
        <f>IF($B474&gt;Trainingsdaten!$H$3,"",INDEX(Trainingsdaten!B:B,$C474+1))</f>
        <v/>
      </c>
      <c r="E474" s="7" t="str">
        <f>IF($B474&gt;Trainingsdaten!$H$3,"",INDEX(Trainingsdaten!C:C,$C474+1))</f>
        <v/>
      </c>
      <c r="F474" s="7" t="str">
        <f>IF($B474&gt;Trainingsdaten!$H$3,"",INDEX(Trainingsdaten!D:D,$C474+1))</f>
        <v/>
      </c>
      <c r="G474" s="7" t="str">
        <f>IF($B474&gt;Trainingsdaten!$H$3,"",INDEX(Trainingsdaten!E:E,$C474+1))</f>
        <v/>
      </c>
      <c r="H474" s="11" t="str">
        <f>IF($B474&gt;Trainingsdaten!$H$3,"",Trainingsdaten!$H$2)</f>
        <v/>
      </c>
      <c r="I474" s="7" t="str">
        <f>IF(B474&gt;Trainingsdaten!$H$3,"",I473+H474*N473*E474)</f>
        <v/>
      </c>
      <c r="J474" s="7" t="str">
        <f>IF(B474&gt;Trainingsdaten!$H$3,"",J473+H474*N473*F474)</f>
        <v/>
      </c>
      <c r="K474" s="7" t="str">
        <f>IF(B474&gt;Trainingsdaten!$H$3,"",K473+H474*N473)</f>
        <v/>
      </c>
      <c r="L474" s="7" t="str">
        <f>IF(B474&gt;Trainingsdaten!$H$3,"",E474*I474+F474*J474+K474)</f>
        <v/>
      </c>
      <c r="M474" s="7" t="str">
        <f>IF(B474&gt;Trainingsdaten!$H$3,"",IF(L474&gt;0,1,0))</f>
        <v/>
      </c>
      <c r="N474" s="7" t="str">
        <f>IF(B474&gt;Trainingsdaten!$H$3,"",G474-M474)</f>
        <v/>
      </c>
    </row>
    <row r="475" spans="1:14" x14ac:dyDescent="0.25">
      <c r="A475" s="9" t="str">
        <f>IF($B475&gt;Trainingsdaten!$H$3,"",MOD(ROW()-4,Trainingsdaten!$H$4)+1)</f>
        <v/>
      </c>
      <c r="B475" s="11" t="str">
        <f>IF(INT((ROW()-4)/Trainingsdaten!$H$4)+1&gt;Trainingsdaten!$H$3,"",INT((ROW()-4)/Trainingsdaten!$H$4)+1)</f>
        <v/>
      </c>
      <c r="C475" s="9" t="str">
        <f>IF(INT((ROW()-4)/Trainingsdaten!$H$4)+1&gt;Trainingsdaten!$H$3,"",MOD(ROW()-4,Trainingsdaten!$H$4)+1)</f>
        <v/>
      </c>
      <c r="D475" s="9" t="str">
        <f>IF($B475&gt;Trainingsdaten!$H$3,"",INDEX(Trainingsdaten!B:B,$C475+1))</f>
        <v/>
      </c>
      <c r="E475" s="7" t="str">
        <f>IF($B475&gt;Trainingsdaten!$H$3,"",INDEX(Trainingsdaten!C:C,$C475+1))</f>
        <v/>
      </c>
      <c r="F475" s="7" t="str">
        <f>IF($B475&gt;Trainingsdaten!$H$3,"",INDEX(Trainingsdaten!D:D,$C475+1))</f>
        <v/>
      </c>
      <c r="G475" s="7" t="str">
        <f>IF($B475&gt;Trainingsdaten!$H$3,"",INDEX(Trainingsdaten!E:E,$C475+1))</f>
        <v/>
      </c>
      <c r="H475" s="11" t="str">
        <f>IF($B475&gt;Trainingsdaten!$H$3,"",Trainingsdaten!$H$2)</f>
        <v/>
      </c>
      <c r="I475" s="7" t="str">
        <f>IF(B475&gt;Trainingsdaten!$H$3,"",I474+H475*N474*E475)</f>
        <v/>
      </c>
      <c r="J475" s="7" t="str">
        <f>IF(B475&gt;Trainingsdaten!$H$3,"",J474+H475*N474*F475)</f>
        <v/>
      </c>
      <c r="K475" s="7" t="str">
        <f>IF(B475&gt;Trainingsdaten!$H$3,"",K474+H475*N474)</f>
        <v/>
      </c>
      <c r="L475" s="7" t="str">
        <f>IF(B475&gt;Trainingsdaten!$H$3,"",E475*I475+F475*J475+K475)</f>
        <v/>
      </c>
      <c r="M475" s="7" t="str">
        <f>IF(B475&gt;Trainingsdaten!$H$3,"",IF(L475&gt;0,1,0))</f>
        <v/>
      </c>
      <c r="N475" s="7" t="str">
        <f>IF(B475&gt;Trainingsdaten!$H$3,"",G475-M475)</f>
        <v/>
      </c>
    </row>
    <row r="476" spans="1:14" x14ac:dyDescent="0.25">
      <c r="A476" s="9" t="str">
        <f>IF($B476&gt;Trainingsdaten!$H$3,"",MOD(ROW()-4,Trainingsdaten!$H$4)+1)</f>
        <v/>
      </c>
      <c r="B476" s="11" t="str">
        <f>IF(INT((ROW()-4)/Trainingsdaten!$H$4)+1&gt;Trainingsdaten!$H$3,"",INT((ROW()-4)/Trainingsdaten!$H$4)+1)</f>
        <v/>
      </c>
      <c r="C476" s="9" t="str">
        <f>IF(INT((ROW()-4)/Trainingsdaten!$H$4)+1&gt;Trainingsdaten!$H$3,"",MOD(ROW()-4,Trainingsdaten!$H$4)+1)</f>
        <v/>
      </c>
      <c r="D476" s="9" t="str">
        <f>IF($B476&gt;Trainingsdaten!$H$3,"",INDEX(Trainingsdaten!B:B,$C476+1))</f>
        <v/>
      </c>
      <c r="E476" s="7" t="str">
        <f>IF($B476&gt;Trainingsdaten!$H$3,"",INDEX(Trainingsdaten!C:C,$C476+1))</f>
        <v/>
      </c>
      <c r="F476" s="7" t="str">
        <f>IF($B476&gt;Trainingsdaten!$H$3,"",INDEX(Trainingsdaten!D:D,$C476+1))</f>
        <v/>
      </c>
      <c r="G476" s="7" t="str">
        <f>IF($B476&gt;Trainingsdaten!$H$3,"",INDEX(Trainingsdaten!E:E,$C476+1))</f>
        <v/>
      </c>
      <c r="H476" s="11" t="str">
        <f>IF($B476&gt;Trainingsdaten!$H$3,"",Trainingsdaten!$H$2)</f>
        <v/>
      </c>
      <c r="I476" s="7" t="str">
        <f>IF(B476&gt;Trainingsdaten!$H$3,"",I475+H476*N475*E476)</f>
        <v/>
      </c>
      <c r="J476" s="7" t="str">
        <f>IF(B476&gt;Trainingsdaten!$H$3,"",J475+H476*N475*F476)</f>
        <v/>
      </c>
      <c r="K476" s="7" t="str">
        <f>IF(B476&gt;Trainingsdaten!$H$3,"",K475+H476*N475)</f>
        <v/>
      </c>
      <c r="L476" s="7" t="str">
        <f>IF(B476&gt;Trainingsdaten!$H$3,"",E476*I476+F476*J476+K476)</f>
        <v/>
      </c>
      <c r="M476" s="7" t="str">
        <f>IF(B476&gt;Trainingsdaten!$H$3,"",IF(L476&gt;0,1,0))</f>
        <v/>
      </c>
      <c r="N476" s="7" t="str">
        <f>IF(B476&gt;Trainingsdaten!$H$3,"",G476-M476)</f>
        <v/>
      </c>
    </row>
    <row r="477" spans="1:14" x14ac:dyDescent="0.25">
      <c r="A477" s="9" t="str">
        <f>IF($B477&gt;Trainingsdaten!$H$3,"",MOD(ROW()-4,Trainingsdaten!$H$4)+1)</f>
        <v/>
      </c>
      <c r="B477" s="11" t="str">
        <f>IF(INT((ROW()-4)/Trainingsdaten!$H$4)+1&gt;Trainingsdaten!$H$3,"",INT((ROW()-4)/Trainingsdaten!$H$4)+1)</f>
        <v/>
      </c>
      <c r="C477" s="9" t="str">
        <f>IF(INT((ROW()-4)/Trainingsdaten!$H$4)+1&gt;Trainingsdaten!$H$3,"",MOD(ROW()-4,Trainingsdaten!$H$4)+1)</f>
        <v/>
      </c>
      <c r="D477" s="9" t="str">
        <f>IF($B477&gt;Trainingsdaten!$H$3,"",INDEX(Trainingsdaten!B:B,$C477+1))</f>
        <v/>
      </c>
      <c r="E477" s="7" t="str">
        <f>IF($B477&gt;Trainingsdaten!$H$3,"",INDEX(Trainingsdaten!C:C,$C477+1))</f>
        <v/>
      </c>
      <c r="F477" s="7" t="str">
        <f>IF($B477&gt;Trainingsdaten!$H$3,"",INDEX(Trainingsdaten!D:D,$C477+1))</f>
        <v/>
      </c>
      <c r="G477" s="7" t="str">
        <f>IF($B477&gt;Trainingsdaten!$H$3,"",INDEX(Trainingsdaten!E:E,$C477+1))</f>
        <v/>
      </c>
      <c r="H477" s="11" t="str">
        <f>IF($B477&gt;Trainingsdaten!$H$3,"",Trainingsdaten!$H$2)</f>
        <v/>
      </c>
      <c r="I477" s="7" t="str">
        <f>IF(B477&gt;Trainingsdaten!$H$3,"",I476+H477*N476*E477)</f>
        <v/>
      </c>
      <c r="J477" s="7" t="str">
        <f>IF(B477&gt;Trainingsdaten!$H$3,"",J476+H477*N476*F477)</f>
        <v/>
      </c>
      <c r="K477" s="7" t="str">
        <f>IF(B477&gt;Trainingsdaten!$H$3,"",K476+H477*N476)</f>
        <v/>
      </c>
      <c r="L477" s="7" t="str">
        <f>IF(B477&gt;Trainingsdaten!$H$3,"",E477*I477+F477*J477+K477)</f>
        <v/>
      </c>
      <c r="M477" s="7" t="str">
        <f>IF(B477&gt;Trainingsdaten!$H$3,"",IF(L477&gt;0,1,0))</f>
        <v/>
      </c>
      <c r="N477" s="7" t="str">
        <f>IF(B477&gt;Trainingsdaten!$H$3,"",G477-M477)</f>
        <v/>
      </c>
    </row>
    <row r="478" spans="1:14" x14ac:dyDescent="0.25">
      <c r="A478" s="9" t="str">
        <f>IF($B478&gt;Trainingsdaten!$H$3,"",MOD(ROW()-4,Trainingsdaten!$H$4)+1)</f>
        <v/>
      </c>
      <c r="B478" s="11" t="str">
        <f>IF(INT((ROW()-4)/Trainingsdaten!$H$4)+1&gt;Trainingsdaten!$H$3,"",INT((ROW()-4)/Trainingsdaten!$H$4)+1)</f>
        <v/>
      </c>
      <c r="C478" s="9" t="str">
        <f>IF(INT((ROW()-4)/Trainingsdaten!$H$4)+1&gt;Trainingsdaten!$H$3,"",MOD(ROW()-4,Trainingsdaten!$H$4)+1)</f>
        <v/>
      </c>
      <c r="D478" s="9" t="str">
        <f>IF($B478&gt;Trainingsdaten!$H$3,"",INDEX(Trainingsdaten!B:B,$C478+1))</f>
        <v/>
      </c>
      <c r="E478" s="7" t="str">
        <f>IF($B478&gt;Trainingsdaten!$H$3,"",INDEX(Trainingsdaten!C:C,$C478+1))</f>
        <v/>
      </c>
      <c r="F478" s="7" t="str">
        <f>IF($B478&gt;Trainingsdaten!$H$3,"",INDEX(Trainingsdaten!D:D,$C478+1))</f>
        <v/>
      </c>
      <c r="G478" s="7" t="str">
        <f>IF($B478&gt;Trainingsdaten!$H$3,"",INDEX(Trainingsdaten!E:E,$C478+1))</f>
        <v/>
      </c>
      <c r="H478" s="11" t="str">
        <f>IF($B478&gt;Trainingsdaten!$H$3,"",Trainingsdaten!$H$2)</f>
        <v/>
      </c>
      <c r="I478" s="7" t="str">
        <f>IF(B478&gt;Trainingsdaten!$H$3,"",I477+H478*N477*E478)</f>
        <v/>
      </c>
      <c r="J478" s="7" t="str">
        <f>IF(B478&gt;Trainingsdaten!$H$3,"",J477+H478*N477*F478)</f>
        <v/>
      </c>
      <c r="K478" s="7" t="str">
        <f>IF(B478&gt;Trainingsdaten!$H$3,"",K477+H478*N477)</f>
        <v/>
      </c>
      <c r="L478" s="7" t="str">
        <f>IF(B478&gt;Trainingsdaten!$H$3,"",E478*I478+F478*J478+K478)</f>
        <v/>
      </c>
      <c r="M478" s="7" t="str">
        <f>IF(B478&gt;Trainingsdaten!$H$3,"",IF(L478&gt;0,1,0))</f>
        <v/>
      </c>
      <c r="N478" s="7" t="str">
        <f>IF(B478&gt;Trainingsdaten!$H$3,"",G478-M478)</f>
        <v/>
      </c>
    </row>
    <row r="479" spans="1:14" x14ac:dyDescent="0.25">
      <c r="A479" s="9" t="str">
        <f>IF($B479&gt;Trainingsdaten!$H$3,"",MOD(ROW()-4,Trainingsdaten!$H$4)+1)</f>
        <v/>
      </c>
      <c r="B479" s="11" t="str">
        <f>IF(INT((ROW()-4)/Trainingsdaten!$H$4)+1&gt;Trainingsdaten!$H$3,"",INT((ROW()-4)/Trainingsdaten!$H$4)+1)</f>
        <v/>
      </c>
      <c r="C479" s="9" t="str">
        <f>IF(INT((ROW()-4)/Trainingsdaten!$H$4)+1&gt;Trainingsdaten!$H$3,"",MOD(ROW()-4,Trainingsdaten!$H$4)+1)</f>
        <v/>
      </c>
      <c r="D479" s="9" t="str">
        <f>IF($B479&gt;Trainingsdaten!$H$3,"",INDEX(Trainingsdaten!B:B,$C479+1))</f>
        <v/>
      </c>
      <c r="E479" s="7" t="str">
        <f>IF($B479&gt;Trainingsdaten!$H$3,"",INDEX(Trainingsdaten!C:C,$C479+1))</f>
        <v/>
      </c>
      <c r="F479" s="7" t="str">
        <f>IF($B479&gt;Trainingsdaten!$H$3,"",INDEX(Trainingsdaten!D:D,$C479+1))</f>
        <v/>
      </c>
      <c r="G479" s="7" t="str">
        <f>IF($B479&gt;Trainingsdaten!$H$3,"",INDEX(Trainingsdaten!E:E,$C479+1))</f>
        <v/>
      </c>
      <c r="H479" s="11" t="str">
        <f>IF($B479&gt;Trainingsdaten!$H$3,"",Trainingsdaten!$H$2)</f>
        <v/>
      </c>
      <c r="I479" s="7" t="str">
        <f>IF(B479&gt;Trainingsdaten!$H$3,"",I478+H479*N478*E479)</f>
        <v/>
      </c>
      <c r="J479" s="7" t="str">
        <f>IF(B479&gt;Trainingsdaten!$H$3,"",J478+H479*N478*F479)</f>
        <v/>
      </c>
      <c r="K479" s="7" t="str">
        <f>IF(B479&gt;Trainingsdaten!$H$3,"",K478+H479*N478)</f>
        <v/>
      </c>
      <c r="L479" s="7" t="str">
        <f>IF(B479&gt;Trainingsdaten!$H$3,"",E479*I479+F479*J479+K479)</f>
        <v/>
      </c>
      <c r="M479" s="7" t="str">
        <f>IF(B479&gt;Trainingsdaten!$H$3,"",IF(L479&gt;0,1,0))</f>
        <v/>
      </c>
      <c r="N479" s="7" t="str">
        <f>IF(B479&gt;Trainingsdaten!$H$3,"",G479-M479)</f>
        <v/>
      </c>
    </row>
    <row r="480" spans="1:14" x14ac:dyDescent="0.25">
      <c r="A480" s="9" t="str">
        <f>IF($B480&gt;Trainingsdaten!$H$3,"",MOD(ROW()-4,Trainingsdaten!$H$4)+1)</f>
        <v/>
      </c>
      <c r="B480" s="11" t="str">
        <f>IF(INT((ROW()-4)/Trainingsdaten!$H$4)+1&gt;Trainingsdaten!$H$3,"",INT((ROW()-4)/Trainingsdaten!$H$4)+1)</f>
        <v/>
      </c>
      <c r="C480" s="9" t="str">
        <f>IF(INT((ROW()-4)/Trainingsdaten!$H$4)+1&gt;Trainingsdaten!$H$3,"",MOD(ROW()-4,Trainingsdaten!$H$4)+1)</f>
        <v/>
      </c>
      <c r="D480" s="9" t="str">
        <f>IF($B480&gt;Trainingsdaten!$H$3,"",INDEX(Trainingsdaten!B:B,$C480+1))</f>
        <v/>
      </c>
      <c r="E480" s="7" t="str">
        <f>IF($B480&gt;Trainingsdaten!$H$3,"",INDEX(Trainingsdaten!C:C,$C480+1))</f>
        <v/>
      </c>
      <c r="F480" s="7" t="str">
        <f>IF($B480&gt;Trainingsdaten!$H$3,"",INDEX(Trainingsdaten!D:D,$C480+1))</f>
        <v/>
      </c>
      <c r="G480" s="7" t="str">
        <f>IF($B480&gt;Trainingsdaten!$H$3,"",INDEX(Trainingsdaten!E:E,$C480+1))</f>
        <v/>
      </c>
      <c r="H480" s="11" t="str">
        <f>IF($B480&gt;Trainingsdaten!$H$3,"",Trainingsdaten!$H$2)</f>
        <v/>
      </c>
      <c r="I480" s="7" t="str">
        <f>IF(B480&gt;Trainingsdaten!$H$3,"",I479+H480*N479*E480)</f>
        <v/>
      </c>
      <c r="J480" s="7" t="str">
        <f>IF(B480&gt;Trainingsdaten!$H$3,"",J479+H480*N479*F480)</f>
        <v/>
      </c>
      <c r="K480" s="7" t="str">
        <f>IF(B480&gt;Trainingsdaten!$H$3,"",K479+H480*N479)</f>
        <v/>
      </c>
      <c r="L480" s="7" t="str">
        <f>IF(B480&gt;Trainingsdaten!$H$3,"",E480*I480+F480*J480+K480)</f>
        <v/>
      </c>
      <c r="M480" s="7" t="str">
        <f>IF(B480&gt;Trainingsdaten!$H$3,"",IF(L480&gt;0,1,0))</f>
        <v/>
      </c>
      <c r="N480" s="7" t="str">
        <f>IF(B480&gt;Trainingsdaten!$H$3,"",G480-M480)</f>
        <v/>
      </c>
    </row>
    <row r="481" spans="1:14" x14ac:dyDescent="0.25">
      <c r="A481" s="9" t="str">
        <f>IF($B481&gt;Trainingsdaten!$H$3,"",MOD(ROW()-4,Trainingsdaten!$H$4)+1)</f>
        <v/>
      </c>
      <c r="B481" s="11" t="str">
        <f>IF(INT((ROW()-4)/Trainingsdaten!$H$4)+1&gt;Trainingsdaten!$H$3,"",INT((ROW()-4)/Trainingsdaten!$H$4)+1)</f>
        <v/>
      </c>
      <c r="C481" s="9" t="str">
        <f>IF(INT((ROW()-4)/Trainingsdaten!$H$4)+1&gt;Trainingsdaten!$H$3,"",MOD(ROW()-4,Trainingsdaten!$H$4)+1)</f>
        <v/>
      </c>
      <c r="D481" s="9" t="str">
        <f>IF($B481&gt;Trainingsdaten!$H$3,"",INDEX(Trainingsdaten!B:B,$C481+1))</f>
        <v/>
      </c>
      <c r="E481" s="7" t="str">
        <f>IF($B481&gt;Trainingsdaten!$H$3,"",INDEX(Trainingsdaten!C:C,$C481+1))</f>
        <v/>
      </c>
      <c r="F481" s="7" t="str">
        <f>IF($B481&gt;Trainingsdaten!$H$3,"",INDEX(Trainingsdaten!D:D,$C481+1))</f>
        <v/>
      </c>
      <c r="G481" s="7" t="str">
        <f>IF($B481&gt;Trainingsdaten!$H$3,"",INDEX(Trainingsdaten!E:E,$C481+1))</f>
        <v/>
      </c>
      <c r="H481" s="11" t="str">
        <f>IF($B481&gt;Trainingsdaten!$H$3,"",Trainingsdaten!$H$2)</f>
        <v/>
      </c>
      <c r="I481" s="7" t="str">
        <f>IF(B481&gt;Trainingsdaten!$H$3,"",I480+H481*N480*E481)</f>
        <v/>
      </c>
      <c r="J481" s="7" t="str">
        <f>IF(B481&gt;Trainingsdaten!$H$3,"",J480+H481*N480*F481)</f>
        <v/>
      </c>
      <c r="K481" s="7" t="str">
        <f>IF(B481&gt;Trainingsdaten!$H$3,"",K480+H481*N480)</f>
        <v/>
      </c>
      <c r="L481" s="7" t="str">
        <f>IF(B481&gt;Trainingsdaten!$H$3,"",E481*I481+F481*J481+K481)</f>
        <v/>
      </c>
      <c r="M481" s="7" t="str">
        <f>IF(B481&gt;Trainingsdaten!$H$3,"",IF(L481&gt;0,1,0))</f>
        <v/>
      </c>
      <c r="N481" s="7" t="str">
        <f>IF(B481&gt;Trainingsdaten!$H$3,"",G481-M481)</f>
        <v/>
      </c>
    </row>
    <row r="482" spans="1:14" x14ac:dyDescent="0.25">
      <c r="A482" s="9" t="str">
        <f>IF($B482&gt;Trainingsdaten!$H$3,"",MOD(ROW()-4,Trainingsdaten!$H$4)+1)</f>
        <v/>
      </c>
      <c r="B482" s="11" t="str">
        <f>IF(INT((ROW()-4)/Trainingsdaten!$H$4)+1&gt;Trainingsdaten!$H$3,"",INT((ROW()-4)/Trainingsdaten!$H$4)+1)</f>
        <v/>
      </c>
      <c r="C482" s="9" t="str">
        <f>IF(INT((ROW()-4)/Trainingsdaten!$H$4)+1&gt;Trainingsdaten!$H$3,"",MOD(ROW()-4,Trainingsdaten!$H$4)+1)</f>
        <v/>
      </c>
      <c r="D482" s="9" t="str">
        <f>IF($B482&gt;Trainingsdaten!$H$3,"",INDEX(Trainingsdaten!B:B,$C482+1))</f>
        <v/>
      </c>
      <c r="E482" s="7" t="str">
        <f>IF($B482&gt;Trainingsdaten!$H$3,"",INDEX(Trainingsdaten!C:C,$C482+1))</f>
        <v/>
      </c>
      <c r="F482" s="7" t="str">
        <f>IF($B482&gt;Trainingsdaten!$H$3,"",INDEX(Trainingsdaten!D:D,$C482+1))</f>
        <v/>
      </c>
      <c r="G482" s="7" t="str">
        <f>IF($B482&gt;Trainingsdaten!$H$3,"",INDEX(Trainingsdaten!E:E,$C482+1))</f>
        <v/>
      </c>
      <c r="H482" s="11" t="str">
        <f>IF($B482&gt;Trainingsdaten!$H$3,"",Trainingsdaten!$H$2)</f>
        <v/>
      </c>
      <c r="I482" s="7" t="str">
        <f>IF(B482&gt;Trainingsdaten!$H$3,"",I481+H482*N481*E482)</f>
        <v/>
      </c>
      <c r="J482" s="7" t="str">
        <f>IF(B482&gt;Trainingsdaten!$H$3,"",J481+H482*N481*F482)</f>
        <v/>
      </c>
      <c r="K482" s="7" t="str">
        <f>IF(B482&gt;Trainingsdaten!$H$3,"",K481+H482*N481)</f>
        <v/>
      </c>
      <c r="L482" s="7" t="str">
        <f>IF(B482&gt;Trainingsdaten!$H$3,"",E482*I482+F482*J482+K482)</f>
        <v/>
      </c>
      <c r="M482" s="7" t="str">
        <f>IF(B482&gt;Trainingsdaten!$H$3,"",IF(L482&gt;0,1,0))</f>
        <v/>
      </c>
      <c r="N482" s="7" t="str">
        <f>IF(B482&gt;Trainingsdaten!$H$3,"",G482-M482)</f>
        <v/>
      </c>
    </row>
    <row r="483" spans="1:14" x14ac:dyDescent="0.25">
      <c r="A483" s="9" t="str">
        <f>IF($B483&gt;Trainingsdaten!$H$3,"",MOD(ROW()-4,Trainingsdaten!$H$4)+1)</f>
        <v/>
      </c>
      <c r="B483" s="11" t="str">
        <f>IF(INT((ROW()-4)/Trainingsdaten!$H$4)+1&gt;Trainingsdaten!$H$3,"",INT((ROW()-4)/Trainingsdaten!$H$4)+1)</f>
        <v/>
      </c>
      <c r="C483" s="9" t="str">
        <f>IF(INT((ROW()-4)/Trainingsdaten!$H$4)+1&gt;Trainingsdaten!$H$3,"",MOD(ROW()-4,Trainingsdaten!$H$4)+1)</f>
        <v/>
      </c>
      <c r="D483" s="9" t="str">
        <f>IF($B483&gt;Trainingsdaten!$H$3,"",INDEX(Trainingsdaten!B:B,$C483+1))</f>
        <v/>
      </c>
      <c r="E483" s="7" t="str">
        <f>IF($B483&gt;Trainingsdaten!$H$3,"",INDEX(Trainingsdaten!C:C,$C483+1))</f>
        <v/>
      </c>
      <c r="F483" s="7" t="str">
        <f>IF($B483&gt;Trainingsdaten!$H$3,"",INDEX(Trainingsdaten!D:D,$C483+1))</f>
        <v/>
      </c>
      <c r="G483" s="7" t="str">
        <f>IF($B483&gt;Trainingsdaten!$H$3,"",INDEX(Trainingsdaten!E:E,$C483+1))</f>
        <v/>
      </c>
      <c r="H483" s="11" t="str">
        <f>IF($B483&gt;Trainingsdaten!$H$3,"",Trainingsdaten!$H$2)</f>
        <v/>
      </c>
      <c r="I483" s="7" t="str">
        <f>IF(B483&gt;Trainingsdaten!$H$3,"",I482+H483*N482*E483)</f>
        <v/>
      </c>
      <c r="J483" s="7" t="str">
        <f>IF(B483&gt;Trainingsdaten!$H$3,"",J482+H483*N482*F483)</f>
        <v/>
      </c>
      <c r="K483" s="7" t="str">
        <f>IF(B483&gt;Trainingsdaten!$H$3,"",K482+H483*N482)</f>
        <v/>
      </c>
      <c r="L483" s="7" t="str">
        <f>IF(B483&gt;Trainingsdaten!$H$3,"",E483*I483+F483*J483+K483)</f>
        <v/>
      </c>
      <c r="M483" s="7" t="str">
        <f>IF(B483&gt;Trainingsdaten!$H$3,"",IF(L483&gt;0,1,0))</f>
        <v/>
      </c>
      <c r="N483" s="7" t="str">
        <f>IF(B483&gt;Trainingsdaten!$H$3,"",G483-M483)</f>
        <v/>
      </c>
    </row>
    <row r="484" spans="1:14" x14ac:dyDescent="0.25">
      <c r="A484" s="9" t="str">
        <f>IF($B484&gt;Trainingsdaten!$H$3,"",MOD(ROW()-4,Trainingsdaten!$H$4)+1)</f>
        <v/>
      </c>
      <c r="B484" s="11" t="str">
        <f>IF(INT((ROW()-4)/Trainingsdaten!$H$4)+1&gt;Trainingsdaten!$H$3,"",INT((ROW()-4)/Trainingsdaten!$H$4)+1)</f>
        <v/>
      </c>
      <c r="C484" s="9" t="str">
        <f>IF(INT((ROW()-4)/Trainingsdaten!$H$4)+1&gt;Trainingsdaten!$H$3,"",MOD(ROW()-4,Trainingsdaten!$H$4)+1)</f>
        <v/>
      </c>
      <c r="D484" s="9" t="str">
        <f>IF($B484&gt;Trainingsdaten!$H$3,"",INDEX(Trainingsdaten!B:B,$C484+1))</f>
        <v/>
      </c>
      <c r="E484" s="7" t="str">
        <f>IF($B484&gt;Trainingsdaten!$H$3,"",INDEX(Trainingsdaten!C:C,$C484+1))</f>
        <v/>
      </c>
      <c r="F484" s="7" t="str">
        <f>IF($B484&gt;Trainingsdaten!$H$3,"",INDEX(Trainingsdaten!D:D,$C484+1))</f>
        <v/>
      </c>
      <c r="G484" s="7" t="str">
        <f>IF($B484&gt;Trainingsdaten!$H$3,"",INDEX(Trainingsdaten!E:E,$C484+1))</f>
        <v/>
      </c>
      <c r="H484" s="11" t="str">
        <f>IF($B484&gt;Trainingsdaten!$H$3,"",Trainingsdaten!$H$2)</f>
        <v/>
      </c>
      <c r="I484" s="7" t="str">
        <f>IF(B484&gt;Trainingsdaten!$H$3,"",I483+H484*N483*E484)</f>
        <v/>
      </c>
      <c r="J484" s="7" t="str">
        <f>IF(B484&gt;Trainingsdaten!$H$3,"",J483+H484*N483*F484)</f>
        <v/>
      </c>
      <c r="K484" s="7" t="str">
        <f>IF(B484&gt;Trainingsdaten!$H$3,"",K483+H484*N483)</f>
        <v/>
      </c>
      <c r="L484" s="7" t="str">
        <f>IF(B484&gt;Trainingsdaten!$H$3,"",E484*I484+F484*J484+K484)</f>
        <v/>
      </c>
      <c r="M484" s="7" t="str">
        <f>IF(B484&gt;Trainingsdaten!$H$3,"",IF(L484&gt;0,1,0))</f>
        <v/>
      </c>
      <c r="N484" s="7" t="str">
        <f>IF(B484&gt;Trainingsdaten!$H$3,"",G484-M484)</f>
        <v/>
      </c>
    </row>
    <row r="485" spans="1:14" x14ac:dyDescent="0.25">
      <c r="A485" s="9" t="str">
        <f>IF($B485&gt;Trainingsdaten!$H$3,"",MOD(ROW()-4,Trainingsdaten!$H$4)+1)</f>
        <v/>
      </c>
      <c r="B485" s="11" t="str">
        <f>IF(INT((ROW()-4)/Trainingsdaten!$H$4)+1&gt;Trainingsdaten!$H$3,"",INT((ROW()-4)/Trainingsdaten!$H$4)+1)</f>
        <v/>
      </c>
      <c r="C485" s="9" t="str">
        <f>IF(INT((ROW()-4)/Trainingsdaten!$H$4)+1&gt;Trainingsdaten!$H$3,"",MOD(ROW()-4,Trainingsdaten!$H$4)+1)</f>
        <v/>
      </c>
      <c r="D485" s="9" t="str">
        <f>IF($B485&gt;Trainingsdaten!$H$3,"",INDEX(Trainingsdaten!B:B,$C485+1))</f>
        <v/>
      </c>
      <c r="E485" s="7" t="str">
        <f>IF($B485&gt;Trainingsdaten!$H$3,"",INDEX(Trainingsdaten!C:C,$C485+1))</f>
        <v/>
      </c>
      <c r="F485" s="7" t="str">
        <f>IF($B485&gt;Trainingsdaten!$H$3,"",INDEX(Trainingsdaten!D:D,$C485+1))</f>
        <v/>
      </c>
      <c r="G485" s="7" t="str">
        <f>IF($B485&gt;Trainingsdaten!$H$3,"",INDEX(Trainingsdaten!E:E,$C485+1))</f>
        <v/>
      </c>
      <c r="H485" s="11" t="str">
        <f>IF($B485&gt;Trainingsdaten!$H$3,"",Trainingsdaten!$H$2)</f>
        <v/>
      </c>
      <c r="I485" s="7" t="str">
        <f>IF(B485&gt;Trainingsdaten!$H$3,"",I484+H485*N484*E485)</f>
        <v/>
      </c>
      <c r="J485" s="7" t="str">
        <f>IF(B485&gt;Trainingsdaten!$H$3,"",J484+H485*N484*F485)</f>
        <v/>
      </c>
      <c r="K485" s="7" t="str">
        <f>IF(B485&gt;Trainingsdaten!$H$3,"",K484+H485*N484)</f>
        <v/>
      </c>
      <c r="L485" s="7" t="str">
        <f>IF(B485&gt;Trainingsdaten!$H$3,"",E485*I485+F485*J485+K485)</f>
        <v/>
      </c>
      <c r="M485" s="7" t="str">
        <f>IF(B485&gt;Trainingsdaten!$H$3,"",IF(L485&gt;0,1,0))</f>
        <v/>
      </c>
      <c r="N485" s="7" t="str">
        <f>IF(B485&gt;Trainingsdaten!$H$3,"",G485-M485)</f>
        <v/>
      </c>
    </row>
    <row r="486" spans="1:14" x14ac:dyDescent="0.25">
      <c r="A486" s="9" t="str">
        <f>IF($B486&gt;Trainingsdaten!$H$3,"",MOD(ROW()-4,Trainingsdaten!$H$4)+1)</f>
        <v/>
      </c>
      <c r="B486" s="11" t="str">
        <f>IF(INT((ROW()-4)/Trainingsdaten!$H$4)+1&gt;Trainingsdaten!$H$3,"",INT((ROW()-4)/Trainingsdaten!$H$4)+1)</f>
        <v/>
      </c>
      <c r="C486" s="9" t="str">
        <f>IF(INT((ROW()-4)/Trainingsdaten!$H$4)+1&gt;Trainingsdaten!$H$3,"",MOD(ROW()-4,Trainingsdaten!$H$4)+1)</f>
        <v/>
      </c>
      <c r="D486" s="9" t="str">
        <f>IF($B486&gt;Trainingsdaten!$H$3,"",INDEX(Trainingsdaten!B:B,$C486+1))</f>
        <v/>
      </c>
      <c r="E486" s="7" t="str">
        <f>IF($B486&gt;Trainingsdaten!$H$3,"",INDEX(Trainingsdaten!C:C,$C486+1))</f>
        <v/>
      </c>
      <c r="F486" s="7" t="str">
        <f>IF($B486&gt;Trainingsdaten!$H$3,"",INDEX(Trainingsdaten!D:D,$C486+1))</f>
        <v/>
      </c>
      <c r="G486" s="7" t="str">
        <f>IF($B486&gt;Trainingsdaten!$H$3,"",INDEX(Trainingsdaten!E:E,$C486+1))</f>
        <v/>
      </c>
      <c r="H486" s="11" t="str">
        <f>IF($B486&gt;Trainingsdaten!$H$3,"",Trainingsdaten!$H$2)</f>
        <v/>
      </c>
      <c r="I486" s="7" t="str">
        <f>IF(B486&gt;Trainingsdaten!$H$3,"",I485+H486*N485*E486)</f>
        <v/>
      </c>
      <c r="J486" s="7" t="str">
        <f>IF(B486&gt;Trainingsdaten!$H$3,"",J485+H486*N485*F486)</f>
        <v/>
      </c>
      <c r="K486" s="7" t="str">
        <f>IF(B486&gt;Trainingsdaten!$H$3,"",K485+H486*N485)</f>
        <v/>
      </c>
      <c r="L486" s="7" t="str">
        <f>IF(B486&gt;Trainingsdaten!$H$3,"",E486*I486+F486*J486+K486)</f>
        <v/>
      </c>
      <c r="M486" s="7" t="str">
        <f>IF(B486&gt;Trainingsdaten!$H$3,"",IF(L486&gt;0,1,0))</f>
        <v/>
      </c>
      <c r="N486" s="7" t="str">
        <f>IF(B486&gt;Trainingsdaten!$H$3,"",G486-M486)</f>
        <v/>
      </c>
    </row>
    <row r="487" spans="1:14" x14ac:dyDescent="0.25">
      <c r="A487" s="9" t="str">
        <f>IF($B487&gt;Trainingsdaten!$H$3,"",MOD(ROW()-4,Trainingsdaten!$H$4)+1)</f>
        <v/>
      </c>
      <c r="B487" s="11" t="str">
        <f>IF(INT((ROW()-4)/Trainingsdaten!$H$4)+1&gt;Trainingsdaten!$H$3,"",INT((ROW()-4)/Trainingsdaten!$H$4)+1)</f>
        <v/>
      </c>
      <c r="C487" s="9" t="str">
        <f>IF(INT((ROW()-4)/Trainingsdaten!$H$4)+1&gt;Trainingsdaten!$H$3,"",MOD(ROW()-4,Trainingsdaten!$H$4)+1)</f>
        <v/>
      </c>
      <c r="D487" s="9" t="str">
        <f>IF($B487&gt;Trainingsdaten!$H$3,"",INDEX(Trainingsdaten!B:B,$C487+1))</f>
        <v/>
      </c>
      <c r="E487" s="7" t="str">
        <f>IF($B487&gt;Trainingsdaten!$H$3,"",INDEX(Trainingsdaten!C:C,$C487+1))</f>
        <v/>
      </c>
      <c r="F487" s="7" t="str">
        <f>IF($B487&gt;Trainingsdaten!$H$3,"",INDEX(Trainingsdaten!D:D,$C487+1))</f>
        <v/>
      </c>
      <c r="G487" s="7" t="str">
        <f>IF($B487&gt;Trainingsdaten!$H$3,"",INDEX(Trainingsdaten!E:E,$C487+1))</f>
        <v/>
      </c>
      <c r="H487" s="11" t="str">
        <f>IF($B487&gt;Trainingsdaten!$H$3,"",Trainingsdaten!$H$2)</f>
        <v/>
      </c>
      <c r="I487" s="7" t="str">
        <f>IF(B487&gt;Trainingsdaten!$H$3,"",I486+H487*N486*E487)</f>
        <v/>
      </c>
      <c r="J487" s="7" t="str">
        <f>IF(B487&gt;Trainingsdaten!$H$3,"",J486+H487*N486*F487)</f>
        <v/>
      </c>
      <c r="K487" s="7" t="str">
        <f>IF(B487&gt;Trainingsdaten!$H$3,"",K486+H487*N486)</f>
        <v/>
      </c>
      <c r="L487" s="7" t="str">
        <f>IF(B487&gt;Trainingsdaten!$H$3,"",E487*I487+F487*J487+K487)</f>
        <v/>
      </c>
      <c r="M487" s="7" t="str">
        <f>IF(B487&gt;Trainingsdaten!$H$3,"",IF(L487&gt;0,1,0))</f>
        <v/>
      </c>
      <c r="N487" s="7" t="str">
        <f>IF(B487&gt;Trainingsdaten!$H$3,"",G487-M487)</f>
        <v/>
      </c>
    </row>
    <row r="488" spans="1:14" x14ac:dyDescent="0.25">
      <c r="A488" s="9" t="str">
        <f>IF($B488&gt;Trainingsdaten!$H$3,"",MOD(ROW()-4,Trainingsdaten!$H$4)+1)</f>
        <v/>
      </c>
      <c r="B488" s="11" t="str">
        <f>IF(INT((ROW()-4)/Trainingsdaten!$H$4)+1&gt;Trainingsdaten!$H$3,"",INT((ROW()-4)/Trainingsdaten!$H$4)+1)</f>
        <v/>
      </c>
      <c r="C488" s="9" t="str">
        <f>IF(INT((ROW()-4)/Trainingsdaten!$H$4)+1&gt;Trainingsdaten!$H$3,"",MOD(ROW()-4,Trainingsdaten!$H$4)+1)</f>
        <v/>
      </c>
      <c r="D488" s="9" t="str">
        <f>IF($B488&gt;Trainingsdaten!$H$3,"",INDEX(Trainingsdaten!B:B,$C488+1))</f>
        <v/>
      </c>
      <c r="E488" s="7" t="str">
        <f>IF($B488&gt;Trainingsdaten!$H$3,"",INDEX(Trainingsdaten!C:C,$C488+1))</f>
        <v/>
      </c>
      <c r="F488" s="7" t="str">
        <f>IF($B488&gt;Trainingsdaten!$H$3,"",INDEX(Trainingsdaten!D:D,$C488+1))</f>
        <v/>
      </c>
      <c r="G488" s="7" t="str">
        <f>IF($B488&gt;Trainingsdaten!$H$3,"",INDEX(Trainingsdaten!E:E,$C488+1))</f>
        <v/>
      </c>
      <c r="H488" s="11" t="str">
        <f>IF($B488&gt;Trainingsdaten!$H$3,"",Trainingsdaten!$H$2)</f>
        <v/>
      </c>
      <c r="I488" s="7" t="str">
        <f>IF(B488&gt;Trainingsdaten!$H$3,"",I487+H488*N487*E488)</f>
        <v/>
      </c>
      <c r="J488" s="7" t="str">
        <f>IF(B488&gt;Trainingsdaten!$H$3,"",J487+H488*N487*F488)</f>
        <v/>
      </c>
      <c r="K488" s="7" t="str">
        <f>IF(B488&gt;Trainingsdaten!$H$3,"",K487+H488*N487)</f>
        <v/>
      </c>
      <c r="L488" s="7" t="str">
        <f>IF(B488&gt;Trainingsdaten!$H$3,"",E488*I488+F488*J488+K488)</f>
        <v/>
      </c>
      <c r="M488" s="7" t="str">
        <f>IF(B488&gt;Trainingsdaten!$H$3,"",IF(L488&gt;0,1,0))</f>
        <v/>
      </c>
      <c r="N488" s="7" t="str">
        <f>IF(B488&gt;Trainingsdaten!$H$3,"",G488-M488)</f>
        <v/>
      </c>
    </row>
    <row r="489" spans="1:14" x14ac:dyDescent="0.25">
      <c r="A489" s="9" t="str">
        <f>IF($B489&gt;Trainingsdaten!$H$3,"",MOD(ROW()-4,Trainingsdaten!$H$4)+1)</f>
        <v/>
      </c>
      <c r="B489" s="11" t="str">
        <f>IF(INT((ROW()-4)/Trainingsdaten!$H$4)+1&gt;Trainingsdaten!$H$3,"",INT((ROW()-4)/Trainingsdaten!$H$4)+1)</f>
        <v/>
      </c>
      <c r="C489" s="9" t="str">
        <f>IF(INT((ROW()-4)/Trainingsdaten!$H$4)+1&gt;Trainingsdaten!$H$3,"",MOD(ROW()-4,Trainingsdaten!$H$4)+1)</f>
        <v/>
      </c>
      <c r="D489" s="9" t="str">
        <f>IF($B489&gt;Trainingsdaten!$H$3,"",INDEX(Trainingsdaten!B:B,$C489+1))</f>
        <v/>
      </c>
      <c r="E489" s="7" t="str">
        <f>IF($B489&gt;Trainingsdaten!$H$3,"",INDEX(Trainingsdaten!C:C,$C489+1))</f>
        <v/>
      </c>
      <c r="F489" s="7" t="str">
        <f>IF($B489&gt;Trainingsdaten!$H$3,"",INDEX(Trainingsdaten!D:D,$C489+1))</f>
        <v/>
      </c>
      <c r="G489" s="7" t="str">
        <f>IF($B489&gt;Trainingsdaten!$H$3,"",INDEX(Trainingsdaten!E:E,$C489+1))</f>
        <v/>
      </c>
      <c r="H489" s="11" t="str">
        <f>IF($B489&gt;Trainingsdaten!$H$3,"",Trainingsdaten!$H$2)</f>
        <v/>
      </c>
      <c r="I489" s="7" t="str">
        <f>IF(B489&gt;Trainingsdaten!$H$3,"",I488+H489*N488*E489)</f>
        <v/>
      </c>
      <c r="J489" s="7" t="str">
        <f>IF(B489&gt;Trainingsdaten!$H$3,"",J488+H489*N488*F489)</f>
        <v/>
      </c>
      <c r="K489" s="7" t="str">
        <f>IF(B489&gt;Trainingsdaten!$H$3,"",K488+H489*N488)</f>
        <v/>
      </c>
      <c r="L489" s="7" t="str">
        <f>IF(B489&gt;Trainingsdaten!$H$3,"",E489*I489+F489*J489+K489)</f>
        <v/>
      </c>
      <c r="M489" s="7" t="str">
        <f>IF(B489&gt;Trainingsdaten!$H$3,"",IF(L489&gt;0,1,0))</f>
        <v/>
      </c>
      <c r="N489" s="7" t="str">
        <f>IF(B489&gt;Trainingsdaten!$H$3,"",G489-M489)</f>
        <v/>
      </c>
    </row>
    <row r="490" spans="1:14" x14ac:dyDescent="0.25">
      <c r="A490" s="9" t="str">
        <f>IF($B490&gt;Trainingsdaten!$H$3,"",MOD(ROW()-4,Trainingsdaten!$H$4)+1)</f>
        <v/>
      </c>
      <c r="B490" s="11" t="str">
        <f>IF(INT((ROW()-4)/Trainingsdaten!$H$4)+1&gt;Trainingsdaten!$H$3,"",INT((ROW()-4)/Trainingsdaten!$H$4)+1)</f>
        <v/>
      </c>
      <c r="C490" s="9" t="str">
        <f>IF(INT((ROW()-4)/Trainingsdaten!$H$4)+1&gt;Trainingsdaten!$H$3,"",MOD(ROW()-4,Trainingsdaten!$H$4)+1)</f>
        <v/>
      </c>
      <c r="D490" s="9" t="str">
        <f>IF($B490&gt;Trainingsdaten!$H$3,"",INDEX(Trainingsdaten!B:B,$C490+1))</f>
        <v/>
      </c>
      <c r="E490" s="7" t="str">
        <f>IF($B490&gt;Trainingsdaten!$H$3,"",INDEX(Trainingsdaten!C:C,$C490+1))</f>
        <v/>
      </c>
      <c r="F490" s="7" t="str">
        <f>IF($B490&gt;Trainingsdaten!$H$3,"",INDEX(Trainingsdaten!D:D,$C490+1))</f>
        <v/>
      </c>
      <c r="G490" s="7" t="str">
        <f>IF($B490&gt;Trainingsdaten!$H$3,"",INDEX(Trainingsdaten!E:E,$C490+1))</f>
        <v/>
      </c>
      <c r="H490" s="11" t="str">
        <f>IF($B490&gt;Trainingsdaten!$H$3,"",Trainingsdaten!$H$2)</f>
        <v/>
      </c>
      <c r="I490" s="7" t="str">
        <f>IF(B490&gt;Trainingsdaten!$H$3,"",I489+H490*N489*E490)</f>
        <v/>
      </c>
      <c r="J490" s="7" t="str">
        <f>IF(B490&gt;Trainingsdaten!$H$3,"",J489+H490*N489*F490)</f>
        <v/>
      </c>
      <c r="K490" s="7" t="str">
        <f>IF(B490&gt;Trainingsdaten!$H$3,"",K489+H490*N489)</f>
        <v/>
      </c>
      <c r="L490" s="7" t="str">
        <f>IF(B490&gt;Trainingsdaten!$H$3,"",E490*I490+F490*J490+K490)</f>
        <v/>
      </c>
      <c r="M490" s="7" t="str">
        <f>IF(B490&gt;Trainingsdaten!$H$3,"",IF(L490&gt;0,1,0))</f>
        <v/>
      </c>
      <c r="N490" s="7" t="str">
        <f>IF(B490&gt;Trainingsdaten!$H$3,"",G490-M490)</f>
        <v/>
      </c>
    </row>
    <row r="491" spans="1:14" x14ac:dyDescent="0.25">
      <c r="A491" s="9" t="str">
        <f>IF($B491&gt;Trainingsdaten!$H$3,"",MOD(ROW()-4,Trainingsdaten!$H$4)+1)</f>
        <v/>
      </c>
      <c r="B491" s="11" t="str">
        <f>IF(INT((ROW()-4)/Trainingsdaten!$H$4)+1&gt;Trainingsdaten!$H$3,"",INT((ROW()-4)/Trainingsdaten!$H$4)+1)</f>
        <v/>
      </c>
      <c r="C491" s="9" t="str">
        <f>IF(INT((ROW()-4)/Trainingsdaten!$H$4)+1&gt;Trainingsdaten!$H$3,"",MOD(ROW()-4,Trainingsdaten!$H$4)+1)</f>
        <v/>
      </c>
      <c r="D491" s="9" t="str">
        <f>IF($B491&gt;Trainingsdaten!$H$3,"",INDEX(Trainingsdaten!B:B,$C491+1))</f>
        <v/>
      </c>
      <c r="E491" s="7" t="str">
        <f>IF($B491&gt;Trainingsdaten!$H$3,"",INDEX(Trainingsdaten!C:C,$C491+1))</f>
        <v/>
      </c>
      <c r="F491" s="7" t="str">
        <f>IF($B491&gt;Trainingsdaten!$H$3,"",INDEX(Trainingsdaten!D:D,$C491+1))</f>
        <v/>
      </c>
      <c r="G491" s="7" t="str">
        <f>IF($B491&gt;Trainingsdaten!$H$3,"",INDEX(Trainingsdaten!E:E,$C491+1))</f>
        <v/>
      </c>
      <c r="H491" s="11" t="str">
        <f>IF($B491&gt;Trainingsdaten!$H$3,"",Trainingsdaten!$H$2)</f>
        <v/>
      </c>
      <c r="I491" s="7" t="str">
        <f>IF(B491&gt;Trainingsdaten!$H$3,"",I490+H491*N490*E491)</f>
        <v/>
      </c>
      <c r="J491" s="7" t="str">
        <f>IF(B491&gt;Trainingsdaten!$H$3,"",J490+H491*N490*F491)</f>
        <v/>
      </c>
      <c r="K491" s="7" t="str">
        <f>IF(B491&gt;Trainingsdaten!$H$3,"",K490+H491*N490)</f>
        <v/>
      </c>
      <c r="L491" s="7" t="str">
        <f>IF(B491&gt;Trainingsdaten!$H$3,"",E491*I491+F491*J491+K491)</f>
        <v/>
      </c>
      <c r="M491" s="7" t="str">
        <f>IF(B491&gt;Trainingsdaten!$H$3,"",IF(L491&gt;0,1,0))</f>
        <v/>
      </c>
      <c r="N491" s="7" t="str">
        <f>IF(B491&gt;Trainingsdaten!$H$3,"",G491-M491)</f>
        <v/>
      </c>
    </row>
    <row r="492" spans="1:14" x14ac:dyDescent="0.25">
      <c r="A492" s="9" t="str">
        <f>IF($B492&gt;Trainingsdaten!$H$3,"",MOD(ROW()-4,Trainingsdaten!$H$4)+1)</f>
        <v/>
      </c>
      <c r="B492" s="11" t="str">
        <f>IF(INT((ROW()-4)/Trainingsdaten!$H$4)+1&gt;Trainingsdaten!$H$3,"",INT((ROW()-4)/Trainingsdaten!$H$4)+1)</f>
        <v/>
      </c>
      <c r="C492" s="9" t="str">
        <f>IF(INT((ROW()-4)/Trainingsdaten!$H$4)+1&gt;Trainingsdaten!$H$3,"",MOD(ROW()-4,Trainingsdaten!$H$4)+1)</f>
        <v/>
      </c>
      <c r="D492" s="9" t="str">
        <f>IF($B492&gt;Trainingsdaten!$H$3,"",INDEX(Trainingsdaten!B:B,$C492+1))</f>
        <v/>
      </c>
      <c r="E492" s="7" t="str">
        <f>IF($B492&gt;Trainingsdaten!$H$3,"",INDEX(Trainingsdaten!C:C,$C492+1))</f>
        <v/>
      </c>
      <c r="F492" s="7" t="str">
        <f>IF($B492&gt;Trainingsdaten!$H$3,"",INDEX(Trainingsdaten!D:D,$C492+1))</f>
        <v/>
      </c>
      <c r="G492" s="7" t="str">
        <f>IF($B492&gt;Trainingsdaten!$H$3,"",INDEX(Trainingsdaten!E:E,$C492+1))</f>
        <v/>
      </c>
      <c r="H492" s="11" t="str">
        <f>IF($B492&gt;Trainingsdaten!$H$3,"",Trainingsdaten!$H$2)</f>
        <v/>
      </c>
      <c r="I492" s="7" t="str">
        <f>IF(B492&gt;Trainingsdaten!$H$3,"",I491+H492*N491*E492)</f>
        <v/>
      </c>
      <c r="J492" s="7" t="str">
        <f>IF(B492&gt;Trainingsdaten!$H$3,"",J491+H492*N491*F492)</f>
        <v/>
      </c>
      <c r="K492" s="7" t="str">
        <f>IF(B492&gt;Trainingsdaten!$H$3,"",K491+H492*N491)</f>
        <v/>
      </c>
      <c r="L492" s="7" t="str">
        <f>IF(B492&gt;Trainingsdaten!$H$3,"",E492*I492+F492*J492+K492)</f>
        <v/>
      </c>
      <c r="M492" s="7" t="str">
        <f>IF(B492&gt;Trainingsdaten!$H$3,"",IF(L492&gt;0,1,0))</f>
        <v/>
      </c>
      <c r="N492" s="7" t="str">
        <f>IF(B492&gt;Trainingsdaten!$H$3,"",G492-M492)</f>
        <v/>
      </c>
    </row>
    <row r="493" spans="1:14" x14ac:dyDescent="0.25">
      <c r="A493" s="9" t="str">
        <f>IF($B493&gt;Trainingsdaten!$H$3,"",MOD(ROW()-4,Trainingsdaten!$H$4)+1)</f>
        <v/>
      </c>
      <c r="B493" s="11" t="str">
        <f>IF(INT((ROW()-4)/Trainingsdaten!$H$4)+1&gt;Trainingsdaten!$H$3,"",INT((ROW()-4)/Trainingsdaten!$H$4)+1)</f>
        <v/>
      </c>
      <c r="C493" s="9" t="str">
        <f>IF(INT((ROW()-4)/Trainingsdaten!$H$4)+1&gt;Trainingsdaten!$H$3,"",MOD(ROW()-4,Trainingsdaten!$H$4)+1)</f>
        <v/>
      </c>
      <c r="D493" s="9" t="str">
        <f>IF($B493&gt;Trainingsdaten!$H$3,"",INDEX(Trainingsdaten!B:B,$C493+1))</f>
        <v/>
      </c>
      <c r="E493" s="7" t="str">
        <f>IF($B493&gt;Trainingsdaten!$H$3,"",INDEX(Trainingsdaten!C:C,$C493+1))</f>
        <v/>
      </c>
      <c r="F493" s="7" t="str">
        <f>IF($B493&gt;Trainingsdaten!$H$3,"",INDEX(Trainingsdaten!D:D,$C493+1))</f>
        <v/>
      </c>
      <c r="G493" s="7" t="str">
        <f>IF($B493&gt;Trainingsdaten!$H$3,"",INDEX(Trainingsdaten!E:E,$C493+1))</f>
        <v/>
      </c>
      <c r="H493" s="11" t="str">
        <f>IF($B493&gt;Trainingsdaten!$H$3,"",Trainingsdaten!$H$2)</f>
        <v/>
      </c>
      <c r="I493" s="7" t="str">
        <f>IF(B493&gt;Trainingsdaten!$H$3,"",I492+H493*N492*E493)</f>
        <v/>
      </c>
      <c r="J493" s="7" t="str">
        <f>IF(B493&gt;Trainingsdaten!$H$3,"",J492+H493*N492*F493)</f>
        <v/>
      </c>
      <c r="K493" s="7" t="str">
        <f>IF(B493&gt;Trainingsdaten!$H$3,"",K492+H493*N492)</f>
        <v/>
      </c>
      <c r="L493" s="7" t="str">
        <f>IF(B493&gt;Trainingsdaten!$H$3,"",E493*I493+F493*J493+K493)</f>
        <v/>
      </c>
      <c r="M493" s="7" t="str">
        <f>IF(B493&gt;Trainingsdaten!$H$3,"",IF(L493&gt;0,1,0))</f>
        <v/>
      </c>
      <c r="N493" s="7" t="str">
        <f>IF(B493&gt;Trainingsdaten!$H$3,"",G493-M493)</f>
        <v/>
      </c>
    </row>
    <row r="494" spans="1:14" x14ac:dyDescent="0.25">
      <c r="A494" s="9" t="str">
        <f>IF($B494&gt;Trainingsdaten!$H$3,"",MOD(ROW()-4,Trainingsdaten!$H$4)+1)</f>
        <v/>
      </c>
      <c r="B494" s="11" t="str">
        <f>IF(INT((ROW()-4)/Trainingsdaten!$H$4)+1&gt;Trainingsdaten!$H$3,"",INT((ROW()-4)/Trainingsdaten!$H$4)+1)</f>
        <v/>
      </c>
      <c r="C494" s="9" t="str">
        <f>IF(INT((ROW()-4)/Trainingsdaten!$H$4)+1&gt;Trainingsdaten!$H$3,"",MOD(ROW()-4,Trainingsdaten!$H$4)+1)</f>
        <v/>
      </c>
      <c r="D494" s="9" t="str">
        <f>IF($B494&gt;Trainingsdaten!$H$3,"",INDEX(Trainingsdaten!B:B,$C494+1))</f>
        <v/>
      </c>
      <c r="E494" s="7" t="str">
        <f>IF($B494&gt;Trainingsdaten!$H$3,"",INDEX(Trainingsdaten!C:C,$C494+1))</f>
        <v/>
      </c>
      <c r="F494" s="7" t="str">
        <f>IF($B494&gt;Trainingsdaten!$H$3,"",INDEX(Trainingsdaten!D:D,$C494+1))</f>
        <v/>
      </c>
      <c r="G494" s="7" t="str">
        <f>IF($B494&gt;Trainingsdaten!$H$3,"",INDEX(Trainingsdaten!E:E,$C494+1))</f>
        <v/>
      </c>
      <c r="H494" s="11" t="str">
        <f>IF($B494&gt;Trainingsdaten!$H$3,"",Trainingsdaten!$H$2)</f>
        <v/>
      </c>
      <c r="I494" s="7" t="str">
        <f>IF(B494&gt;Trainingsdaten!$H$3,"",I493+H494*N493*E494)</f>
        <v/>
      </c>
      <c r="J494" s="7" t="str">
        <f>IF(B494&gt;Trainingsdaten!$H$3,"",J493+H494*N493*F494)</f>
        <v/>
      </c>
      <c r="K494" s="7" t="str">
        <f>IF(B494&gt;Trainingsdaten!$H$3,"",K493+H494*N493)</f>
        <v/>
      </c>
      <c r="L494" s="7" t="str">
        <f>IF(B494&gt;Trainingsdaten!$H$3,"",E494*I494+F494*J494+K494)</f>
        <v/>
      </c>
      <c r="M494" s="7" t="str">
        <f>IF(B494&gt;Trainingsdaten!$H$3,"",IF(L494&gt;0,1,0))</f>
        <v/>
      </c>
      <c r="N494" s="7" t="str">
        <f>IF(B494&gt;Trainingsdaten!$H$3,"",G494-M494)</f>
        <v/>
      </c>
    </row>
    <row r="495" spans="1:14" x14ac:dyDescent="0.25">
      <c r="A495" s="9" t="str">
        <f>IF($B495&gt;Trainingsdaten!$H$3,"",MOD(ROW()-4,Trainingsdaten!$H$4)+1)</f>
        <v/>
      </c>
      <c r="B495" s="11" t="str">
        <f>IF(INT((ROW()-4)/Trainingsdaten!$H$4)+1&gt;Trainingsdaten!$H$3,"",INT((ROW()-4)/Trainingsdaten!$H$4)+1)</f>
        <v/>
      </c>
      <c r="C495" s="9" t="str">
        <f>IF(INT((ROW()-4)/Trainingsdaten!$H$4)+1&gt;Trainingsdaten!$H$3,"",MOD(ROW()-4,Trainingsdaten!$H$4)+1)</f>
        <v/>
      </c>
      <c r="D495" s="9" t="str">
        <f>IF($B495&gt;Trainingsdaten!$H$3,"",INDEX(Trainingsdaten!B:B,$C495+1))</f>
        <v/>
      </c>
      <c r="E495" s="7" t="str">
        <f>IF($B495&gt;Trainingsdaten!$H$3,"",INDEX(Trainingsdaten!C:C,$C495+1))</f>
        <v/>
      </c>
      <c r="F495" s="7" t="str">
        <f>IF($B495&gt;Trainingsdaten!$H$3,"",INDEX(Trainingsdaten!D:D,$C495+1))</f>
        <v/>
      </c>
      <c r="G495" s="7" t="str">
        <f>IF($B495&gt;Trainingsdaten!$H$3,"",INDEX(Trainingsdaten!E:E,$C495+1))</f>
        <v/>
      </c>
      <c r="H495" s="11" t="str">
        <f>IF($B495&gt;Trainingsdaten!$H$3,"",Trainingsdaten!$H$2)</f>
        <v/>
      </c>
      <c r="I495" s="7" t="str">
        <f>IF(B495&gt;Trainingsdaten!$H$3,"",I494+H495*N494*E495)</f>
        <v/>
      </c>
      <c r="J495" s="7" t="str">
        <f>IF(B495&gt;Trainingsdaten!$H$3,"",J494+H495*N494*F495)</f>
        <v/>
      </c>
      <c r="K495" s="7" t="str">
        <f>IF(B495&gt;Trainingsdaten!$H$3,"",K494+H495*N494)</f>
        <v/>
      </c>
      <c r="L495" s="7" t="str">
        <f>IF(B495&gt;Trainingsdaten!$H$3,"",E495*I495+F495*J495+K495)</f>
        <v/>
      </c>
      <c r="M495" s="7" t="str">
        <f>IF(B495&gt;Trainingsdaten!$H$3,"",IF(L495&gt;0,1,0))</f>
        <v/>
      </c>
      <c r="N495" s="7" t="str">
        <f>IF(B495&gt;Trainingsdaten!$H$3,"",G495-M495)</f>
        <v/>
      </c>
    </row>
    <row r="496" spans="1:14" x14ac:dyDescent="0.25">
      <c r="A496" s="9" t="str">
        <f>IF($B496&gt;Trainingsdaten!$H$3,"",MOD(ROW()-4,Trainingsdaten!$H$4)+1)</f>
        <v/>
      </c>
      <c r="B496" s="11" t="str">
        <f>IF(INT((ROW()-4)/Trainingsdaten!$H$4)+1&gt;Trainingsdaten!$H$3,"",INT((ROW()-4)/Trainingsdaten!$H$4)+1)</f>
        <v/>
      </c>
      <c r="C496" s="9" t="str">
        <f>IF(INT((ROW()-4)/Trainingsdaten!$H$4)+1&gt;Trainingsdaten!$H$3,"",MOD(ROW()-4,Trainingsdaten!$H$4)+1)</f>
        <v/>
      </c>
      <c r="D496" s="9" t="str">
        <f>IF($B496&gt;Trainingsdaten!$H$3,"",INDEX(Trainingsdaten!B:B,$C496+1))</f>
        <v/>
      </c>
      <c r="E496" s="7" t="str">
        <f>IF($B496&gt;Trainingsdaten!$H$3,"",INDEX(Trainingsdaten!C:C,$C496+1))</f>
        <v/>
      </c>
      <c r="F496" s="7" t="str">
        <f>IF($B496&gt;Trainingsdaten!$H$3,"",INDEX(Trainingsdaten!D:D,$C496+1))</f>
        <v/>
      </c>
      <c r="G496" s="7" t="str">
        <f>IF($B496&gt;Trainingsdaten!$H$3,"",INDEX(Trainingsdaten!E:E,$C496+1))</f>
        <v/>
      </c>
      <c r="H496" s="11" t="str">
        <f>IF($B496&gt;Trainingsdaten!$H$3,"",Trainingsdaten!$H$2)</f>
        <v/>
      </c>
      <c r="I496" s="7" t="str">
        <f>IF(B496&gt;Trainingsdaten!$H$3,"",I495+H496*N495*E496)</f>
        <v/>
      </c>
      <c r="J496" s="7" t="str">
        <f>IF(B496&gt;Trainingsdaten!$H$3,"",J495+H496*N495*F496)</f>
        <v/>
      </c>
      <c r="K496" s="7" t="str">
        <f>IF(B496&gt;Trainingsdaten!$H$3,"",K495+H496*N495)</f>
        <v/>
      </c>
      <c r="L496" s="7" t="str">
        <f>IF(B496&gt;Trainingsdaten!$H$3,"",E496*I496+F496*J496+K496)</f>
        <v/>
      </c>
      <c r="M496" s="7" t="str">
        <f>IF(B496&gt;Trainingsdaten!$H$3,"",IF(L496&gt;0,1,0))</f>
        <v/>
      </c>
      <c r="N496" s="7" t="str">
        <f>IF(B496&gt;Trainingsdaten!$H$3,"",G496-M496)</f>
        <v/>
      </c>
    </row>
    <row r="497" spans="1:14" x14ac:dyDescent="0.25">
      <c r="A497" s="9" t="str">
        <f>IF($B497&gt;Trainingsdaten!$H$3,"",MOD(ROW()-4,Trainingsdaten!$H$4)+1)</f>
        <v/>
      </c>
      <c r="B497" s="11" t="str">
        <f>IF(INT((ROW()-4)/Trainingsdaten!$H$4)+1&gt;Trainingsdaten!$H$3,"",INT((ROW()-4)/Trainingsdaten!$H$4)+1)</f>
        <v/>
      </c>
      <c r="C497" s="9" t="str">
        <f>IF(INT((ROW()-4)/Trainingsdaten!$H$4)+1&gt;Trainingsdaten!$H$3,"",MOD(ROW()-4,Trainingsdaten!$H$4)+1)</f>
        <v/>
      </c>
      <c r="D497" s="9" t="str">
        <f>IF($B497&gt;Trainingsdaten!$H$3,"",INDEX(Trainingsdaten!B:B,$C497+1))</f>
        <v/>
      </c>
      <c r="E497" s="7" t="str">
        <f>IF($B497&gt;Trainingsdaten!$H$3,"",INDEX(Trainingsdaten!C:C,$C497+1))</f>
        <v/>
      </c>
      <c r="F497" s="7" t="str">
        <f>IF($B497&gt;Trainingsdaten!$H$3,"",INDEX(Trainingsdaten!D:D,$C497+1))</f>
        <v/>
      </c>
      <c r="G497" s="7" t="str">
        <f>IF($B497&gt;Trainingsdaten!$H$3,"",INDEX(Trainingsdaten!E:E,$C497+1))</f>
        <v/>
      </c>
      <c r="H497" s="11" t="str">
        <f>IF($B497&gt;Trainingsdaten!$H$3,"",Trainingsdaten!$H$2)</f>
        <v/>
      </c>
      <c r="I497" s="7" t="str">
        <f>IF(B497&gt;Trainingsdaten!$H$3,"",I496+H497*N496*E497)</f>
        <v/>
      </c>
      <c r="J497" s="7" t="str">
        <f>IF(B497&gt;Trainingsdaten!$H$3,"",J496+H497*N496*F497)</f>
        <v/>
      </c>
      <c r="K497" s="7" t="str">
        <f>IF(B497&gt;Trainingsdaten!$H$3,"",K496+H497*N496)</f>
        <v/>
      </c>
      <c r="L497" s="7" t="str">
        <f>IF(B497&gt;Trainingsdaten!$H$3,"",E497*I497+F497*J497+K497)</f>
        <v/>
      </c>
      <c r="M497" s="7" t="str">
        <f>IF(B497&gt;Trainingsdaten!$H$3,"",IF(L497&gt;0,1,0))</f>
        <v/>
      </c>
      <c r="N497" s="7" t="str">
        <f>IF(B497&gt;Trainingsdaten!$H$3,"",G497-M497)</f>
        <v/>
      </c>
    </row>
    <row r="498" spans="1:14" x14ac:dyDescent="0.25">
      <c r="A498" s="9" t="str">
        <f>IF($B498&gt;Trainingsdaten!$H$3,"",MOD(ROW()-4,Trainingsdaten!$H$4)+1)</f>
        <v/>
      </c>
      <c r="B498" s="11" t="str">
        <f>IF(INT((ROW()-4)/Trainingsdaten!$H$4)+1&gt;Trainingsdaten!$H$3,"",INT((ROW()-4)/Trainingsdaten!$H$4)+1)</f>
        <v/>
      </c>
      <c r="C498" s="9" t="str">
        <f>IF(INT((ROW()-4)/Trainingsdaten!$H$4)+1&gt;Trainingsdaten!$H$3,"",MOD(ROW()-4,Trainingsdaten!$H$4)+1)</f>
        <v/>
      </c>
      <c r="D498" s="9" t="str">
        <f>IF($B498&gt;Trainingsdaten!$H$3,"",INDEX(Trainingsdaten!B:B,$C498+1))</f>
        <v/>
      </c>
      <c r="E498" s="7" t="str">
        <f>IF($B498&gt;Trainingsdaten!$H$3,"",INDEX(Trainingsdaten!C:C,$C498+1))</f>
        <v/>
      </c>
      <c r="F498" s="7" t="str">
        <f>IF($B498&gt;Trainingsdaten!$H$3,"",INDEX(Trainingsdaten!D:D,$C498+1))</f>
        <v/>
      </c>
      <c r="G498" s="7" t="str">
        <f>IF($B498&gt;Trainingsdaten!$H$3,"",INDEX(Trainingsdaten!E:E,$C498+1))</f>
        <v/>
      </c>
      <c r="H498" s="11" t="str">
        <f>IF($B498&gt;Trainingsdaten!$H$3,"",Trainingsdaten!$H$2)</f>
        <v/>
      </c>
      <c r="I498" s="7" t="str">
        <f>IF(B498&gt;Trainingsdaten!$H$3,"",I497+H498*N497*E498)</f>
        <v/>
      </c>
      <c r="J498" s="7" t="str">
        <f>IF(B498&gt;Trainingsdaten!$H$3,"",J497+H498*N497*F498)</f>
        <v/>
      </c>
      <c r="K498" s="7" t="str">
        <f>IF(B498&gt;Trainingsdaten!$H$3,"",K497+H498*N497)</f>
        <v/>
      </c>
      <c r="L498" s="7" t="str">
        <f>IF(B498&gt;Trainingsdaten!$H$3,"",E498*I498+F498*J498+K498)</f>
        <v/>
      </c>
      <c r="M498" s="7" t="str">
        <f>IF(B498&gt;Trainingsdaten!$H$3,"",IF(L498&gt;0,1,0))</f>
        <v/>
      </c>
      <c r="N498" s="7" t="str">
        <f>IF(B498&gt;Trainingsdaten!$H$3,"",G498-M498)</f>
        <v/>
      </c>
    </row>
    <row r="499" spans="1:14" x14ac:dyDescent="0.25">
      <c r="A499" s="9" t="str">
        <f>IF($B499&gt;Trainingsdaten!$H$3,"",MOD(ROW()-4,Trainingsdaten!$H$4)+1)</f>
        <v/>
      </c>
      <c r="B499" s="11" t="str">
        <f>IF(INT((ROW()-4)/Trainingsdaten!$H$4)+1&gt;Trainingsdaten!$H$3,"",INT((ROW()-4)/Trainingsdaten!$H$4)+1)</f>
        <v/>
      </c>
      <c r="C499" s="9" t="str">
        <f>IF(INT((ROW()-4)/Trainingsdaten!$H$4)+1&gt;Trainingsdaten!$H$3,"",MOD(ROW()-4,Trainingsdaten!$H$4)+1)</f>
        <v/>
      </c>
      <c r="D499" s="9" t="str">
        <f>IF($B499&gt;Trainingsdaten!$H$3,"",INDEX(Trainingsdaten!B:B,$C499+1))</f>
        <v/>
      </c>
      <c r="E499" s="7" t="str">
        <f>IF($B499&gt;Trainingsdaten!$H$3,"",INDEX(Trainingsdaten!C:C,$C499+1))</f>
        <v/>
      </c>
      <c r="F499" s="7" t="str">
        <f>IF($B499&gt;Trainingsdaten!$H$3,"",INDEX(Trainingsdaten!D:D,$C499+1))</f>
        <v/>
      </c>
      <c r="G499" s="7" t="str">
        <f>IF($B499&gt;Trainingsdaten!$H$3,"",INDEX(Trainingsdaten!E:E,$C499+1))</f>
        <v/>
      </c>
      <c r="H499" s="11" t="str">
        <f>IF($B499&gt;Trainingsdaten!$H$3,"",Trainingsdaten!$H$2)</f>
        <v/>
      </c>
      <c r="I499" s="7" t="str">
        <f>IF(B499&gt;Trainingsdaten!$H$3,"",I498+H499*N498*E499)</f>
        <v/>
      </c>
      <c r="J499" s="7" t="str">
        <f>IF(B499&gt;Trainingsdaten!$H$3,"",J498+H499*N498*F499)</f>
        <v/>
      </c>
      <c r="K499" s="7" t="str">
        <f>IF(B499&gt;Trainingsdaten!$H$3,"",K498+H499*N498)</f>
        <v/>
      </c>
      <c r="L499" s="7" t="str">
        <f>IF(B499&gt;Trainingsdaten!$H$3,"",E499*I499+F499*J499+K499)</f>
        <v/>
      </c>
      <c r="M499" s="7" t="str">
        <f>IF(B499&gt;Trainingsdaten!$H$3,"",IF(L499&gt;0,1,0))</f>
        <v/>
      </c>
      <c r="N499" s="7" t="str">
        <f>IF(B499&gt;Trainingsdaten!$H$3,"",G499-M499)</f>
        <v/>
      </c>
    </row>
    <row r="500" spans="1:14" x14ac:dyDescent="0.25">
      <c r="A500" s="9" t="str">
        <f>IF($B500&gt;Trainingsdaten!$H$3,"",MOD(ROW()-4,Trainingsdaten!$H$4)+1)</f>
        <v/>
      </c>
      <c r="B500" s="11" t="str">
        <f>IF(INT((ROW()-4)/Trainingsdaten!$H$4)+1&gt;Trainingsdaten!$H$3,"",INT((ROW()-4)/Trainingsdaten!$H$4)+1)</f>
        <v/>
      </c>
      <c r="C500" s="9" t="str">
        <f>IF(INT((ROW()-4)/Trainingsdaten!$H$4)+1&gt;Trainingsdaten!$H$3,"",MOD(ROW()-4,Trainingsdaten!$H$4)+1)</f>
        <v/>
      </c>
      <c r="D500" s="9" t="str">
        <f>IF($B500&gt;Trainingsdaten!$H$3,"",INDEX(Trainingsdaten!B:B,$C500+1))</f>
        <v/>
      </c>
      <c r="E500" s="7" t="str">
        <f>IF($B500&gt;Trainingsdaten!$H$3,"",INDEX(Trainingsdaten!C:C,$C500+1))</f>
        <v/>
      </c>
      <c r="F500" s="7" t="str">
        <f>IF($B500&gt;Trainingsdaten!$H$3,"",INDEX(Trainingsdaten!D:D,$C500+1))</f>
        <v/>
      </c>
      <c r="G500" s="7" t="str">
        <f>IF($B500&gt;Trainingsdaten!$H$3,"",INDEX(Trainingsdaten!E:E,$C500+1))</f>
        <v/>
      </c>
      <c r="H500" s="11" t="str">
        <f>IF($B500&gt;Trainingsdaten!$H$3,"",Trainingsdaten!$H$2)</f>
        <v/>
      </c>
      <c r="I500" s="7" t="str">
        <f>IF(B500&gt;Trainingsdaten!$H$3,"",I499+H500*N499*E500)</f>
        <v/>
      </c>
      <c r="J500" s="7" t="str">
        <f>IF(B500&gt;Trainingsdaten!$H$3,"",J499+H500*N499*F500)</f>
        <v/>
      </c>
      <c r="K500" s="7" t="str">
        <f>IF(B500&gt;Trainingsdaten!$H$3,"",K499+H500*N499)</f>
        <v/>
      </c>
      <c r="L500" s="7" t="str">
        <f>IF(B500&gt;Trainingsdaten!$H$3,"",E500*I500+F500*J500+K500)</f>
        <v/>
      </c>
      <c r="M500" s="7" t="str">
        <f>IF(B500&gt;Trainingsdaten!$H$3,"",IF(L500&gt;0,1,0))</f>
        <v/>
      </c>
      <c r="N500" s="7" t="str">
        <f>IF(B500&gt;Trainingsdaten!$H$3,"",G500-M500)</f>
        <v/>
      </c>
    </row>
  </sheetData>
  <pageMargins left="0.75" right="0.75" top="1" bottom="1" header="0.5" footer="0.5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V34" sqref="V34"/>
    </sheetView>
  </sheetViews>
  <sheetFormatPr baseColWidth="10" defaultRowHeight="15" x14ac:dyDescent="0.25"/>
  <cols>
    <col min="1" max="1" width="13.7109375" customWidth="1"/>
    <col min="2" max="2" width="19.85546875" customWidth="1"/>
  </cols>
  <sheetData>
    <row r="1" spans="1:2" x14ac:dyDescent="0.25">
      <c r="A1" s="14" t="s">
        <v>164</v>
      </c>
      <c r="B1" s="14" t="s">
        <v>166</v>
      </c>
    </row>
    <row r="2" spans="1:2" x14ac:dyDescent="0.25">
      <c r="A2" s="7">
        <f>IF(ROW(A1)&lt;=Trainingsdaten!$H$3,ROW(A1),"")</f>
        <v>1</v>
      </c>
      <c r="B2" s="7">
        <f>IF(ROW(A1)&lt;=Trainingsdaten!$H$3,COUNTIFS(Training!$B:$B,$A2,Training!$N:$N,1)+COUNTIFS(Training!$B:$B,$A2,Training!$N:$N,-1),"")</f>
        <v>5</v>
      </c>
    </row>
    <row r="3" spans="1:2" x14ac:dyDescent="0.25">
      <c r="A3" s="7">
        <f>IF(ROW(A2)&lt;=Trainingsdaten!$H$3,ROW(A2),"")</f>
        <v>2</v>
      </c>
      <c r="B3" s="7">
        <f>IF(ROW(A2)&lt;=Trainingsdaten!$H$3,COUNTIFS(Training!$B:$B,$A3,Training!$N:$N,1)+COUNTIFS(Training!$B:$B,$A3,Training!$N:$N,-1),"")</f>
        <v>2</v>
      </c>
    </row>
    <row r="4" spans="1:2" x14ac:dyDescent="0.25">
      <c r="A4" s="7" t="str">
        <f>IF(ROW(A3)&lt;=Trainingsdaten!$H$3,ROW(A3),"")</f>
        <v/>
      </c>
      <c r="B4" s="7" t="str">
        <f>IF(ROW(A3)&lt;=Trainingsdaten!$H$3,COUNTIFS(Training!$B:$B,$A4,Training!$N:$N,1)+COUNTIFS(Training!$B:$B,$A4,Training!$N:$N,-1),"")</f>
        <v/>
      </c>
    </row>
    <row r="5" spans="1:2" x14ac:dyDescent="0.25">
      <c r="A5" s="7" t="str">
        <f>IF(ROW(A4)&lt;=Trainingsdaten!$H$3,ROW(A4),"")</f>
        <v/>
      </c>
      <c r="B5" s="7" t="str">
        <f>IF(ROW(A4)&lt;=Trainingsdaten!$H$3,COUNTIFS(Training!$B:$B,$A5,Training!$N:$N,1)+COUNTIFS(Training!$B:$B,$A5,Training!$N:$N,-1),"")</f>
        <v/>
      </c>
    </row>
    <row r="6" spans="1:2" x14ac:dyDescent="0.25">
      <c r="A6" s="7" t="str">
        <f>IF(ROW(A5)&lt;=Trainingsdaten!$H$3,ROW(A5),"")</f>
        <v/>
      </c>
      <c r="B6" s="7" t="str">
        <f>IF(ROW(A5)&lt;=Trainingsdaten!$H$3,COUNTIFS(Training!$B:$B,$A6,Training!$N:$N,1)+COUNTIFS(Training!$B:$B,$A6,Training!$N:$N,-1),"")</f>
        <v/>
      </c>
    </row>
    <row r="7" spans="1:2" x14ac:dyDescent="0.25">
      <c r="A7" s="7" t="str">
        <f>IF(ROW(A6)&lt;=Trainingsdaten!$H$3,ROW(A6),"")</f>
        <v/>
      </c>
      <c r="B7" s="7" t="str">
        <f>IF(ROW(A6)&lt;=Trainingsdaten!$H$3,COUNTIFS(Training!$B:$B,$A7,Training!$N:$N,1)+COUNTIFS(Training!$B:$B,$A7,Training!$N:$N,-1),"")</f>
        <v/>
      </c>
    </row>
    <row r="8" spans="1:2" x14ac:dyDescent="0.25">
      <c r="A8" s="7" t="str">
        <f>IF(ROW(A7)&lt;=Trainingsdaten!$H$3,ROW(A7),"")</f>
        <v/>
      </c>
      <c r="B8" s="7" t="str">
        <f>IF(ROW(A7)&lt;=Trainingsdaten!$H$3,COUNTIFS(Training!$B:$B,$A8,Training!$N:$N,1)+COUNTIFS(Training!$B:$B,$A8,Training!$N:$N,-1),"")</f>
        <v/>
      </c>
    </row>
    <row r="9" spans="1:2" x14ac:dyDescent="0.25">
      <c r="A9" s="7" t="str">
        <f>IF(ROW(A8)&lt;=Trainingsdaten!$H$3,ROW(A8),"")</f>
        <v/>
      </c>
      <c r="B9" s="7" t="str">
        <f>IF(ROW(A8)&lt;=Trainingsdaten!$H$3,COUNTIFS(Training!$B:$B,$A9,Training!$N:$N,1)+COUNTIFS(Training!$B:$B,$A9,Training!$N:$N,-1),"")</f>
        <v/>
      </c>
    </row>
    <row r="10" spans="1:2" x14ac:dyDescent="0.25">
      <c r="A10" s="7" t="str">
        <f>IF(ROW(A9)&lt;=Trainingsdaten!$H$3,ROW(A9),"")</f>
        <v/>
      </c>
      <c r="B10" s="7" t="str">
        <f>IF(ROW(A9)&lt;=Trainingsdaten!$H$3,COUNTIFS(Training!$B:$B,$A10,Training!$N:$N,1)+COUNTIFS(Training!$B:$B,$A10,Training!$N:$N,-1),"")</f>
        <v/>
      </c>
    </row>
    <row r="11" spans="1:2" x14ac:dyDescent="0.25">
      <c r="A11" s="7" t="str">
        <f>IF(ROW(A10)&lt;=Trainingsdaten!$H$3,ROW(A10),"")</f>
        <v/>
      </c>
      <c r="B11" s="7" t="str">
        <f>IF(ROW(A10)&lt;=Trainingsdaten!$H$3,COUNTIFS(Training!$B:$B,$A11,Training!$N:$N,1)+COUNTIFS(Training!$B:$B,$A11,Training!$N:$N,-1),"")</f>
        <v/>
      </c>
    </row>
    <row r="12" spans="1:2" x14ac:dyDescent="0.25">
      <c r="A12" s="7" t="str">
        <f>IF(ROW(A11)&lt;=Trainingsdaten!$H$3,ROW(A11),"")</f>
        <v/>
      </c>
      <c r="B12" s="7" t="str">
        <f>IF(ROW(A11)&lt;=Trainingsdaten!$H$3,COUNTIFS(Training!$B:$B,$A12,Training!$N:$N,1)+COUNTIFS(Training!$B:$B,$A12,Training!$N:$N,-1),"")</f>
        <v/>
      </c>
    </row>
    <row r="13" spans="1:2" x14ac:dyDescent="0.25">
      <c r="A13" s="7" t="str">
        <f>IF(ROW(A12)&lt;=Trainingsdaten!$H$3,ROW(A12),"")</f>
        <v/>
      </c>
      <c r="B13" s="7" t="str">
        <f>IF(ROW(A12)&lt;=Trainingsdaten!$H$3,COUNTIFS(Training!$B:$B,$A13,Training!$N:$N,1)+COUNTIFS(Training!$B:$B,$A13,Training!$N:$N,-1),"")</f>
        <v/>
      </c>
    </row>
    <row r="14" spans="1:2" x14ac:dyDescent="0.25">
      <c r="A14" s="7" t="str">
        <f>IF(ROW(A13)&lt;=Trainingsdaten!$H$3,ROW(A13),"")</f>
        <v/>
      </c>
      <c r="B14" s="7" t="str">
        <f>IF(ROW(A13)&lt;=Trainingsdaten!$H$3,COUNTIFS(Training!$B:$B,$A14,Training!$N:$N,1)+COUNTIFS(Training!$B:$B,$A14,Training!$N:$N,-1),"")</f>
        <v/>
      </c>
    </row>
    <row r="15" spans="1:2" x14ac:dyDescent="0.25">
      <c r="A15" s="7" t="str">
        <f>IF(ROW(A14)&lt;=Trainingsdaten!$H$3,ROW(A14),"")</f>
        <v/>
      </c>
      <c r="B15" s="7" t="str">
        <f>IF(ROW(A14)&lt;=Trainingsdaten!$H$3,COUNTIFS(Training!$B:$B,$A15,Training!$N:$N,1)+COUNTIFS(Training!$B:$B,$A15,Training!$N:$N,-1),"")</f>
        <v/>
      </c>
    </row>
    <row r="16" spans="1:2" x14ac:dyDescent="0.25">
      <c r="A16" s="7" t="str">
        <f>IF(ROW(A15)&lt;=Trainingsdaten!$H$3,ROW(A15),"")</f>
        <v/>
      </c>
      <c r="B16" s="7" t="str">
        <f>IF(ROW(A15)&lt;=Trainingsdaten!$H$3,COUNTIFS(Training!$B:$B,$A16,Training!$N:$N,1)+COUNTIFS(Training!$B:$B,$A16,Training!$N:$N,-1),"")</f>
        <v/>
      </c>
    </row>
    <row r="17" spans="1:2" x14ac:dyDescent="0.25">
      <c r="A17" s="7" t="str">
        <f>IF(ROW(A16)&lt;=Trainingsdaten!$H$3,ROW(A16),"")</f>
        <v/>
      </c>
      <c r="B17" s="7" t="str">
        <f>IF(ROW(A16)&lt;=Trainingsdaten!$H$3,COUNTIFS(Training!$B:$B,$A17,Training!$N:$N,1)+COUNTIFS(Training!$B:$B,$A17,Training!$N:$N,-1),"")</f>
        <v/>
      </c>
    </row>
    <row r="18" spans="1:2" x14ac:dyDescent="0.25">
      <c r="A18" s="7" t="str">
        <f>IF(ROW(A17)&lt;=Trainingsdaten!$H$3,ROW(A17),"")</f>
        <v/>
      </c>
      <c r="B18" s="7" t="str">
        <f>IF(ROW(A17)&lt;=Trainingsdaten!$H$3,COUNTIFS(Training!$B:$B,$A18,Training!$N:$N,1)+COUNTIFS(Training!$B:$B,$A18,Training!$N:$N,-1),"")</f>
        <v/>
      </c>
    </row>
    <row r="19" spans="1:2" x14ac:dyDescent="0.25">
      <c r="A19" s="7" t="str">
        <f>IF(ROW(A18)&lt;=Trainingsdaten!$H$3,ROW(A18),"")</f>
        <v/>
      </c>
      <c r="B19" s="7" t="str">
        <f>IF(ROW(A18)&lt;=Trainingsdaten!$H$3,COUNTIFS(Training!$B:$B,$A19,Training!$N:$N,1)+COUNTIFS(Training!$B:$B,$A19,Training!$N:$N,-1),"")</f>
        <v/>
      </c>
    </row>
    <row r="20" spans="1:2" x14ac:dyDescent="0.25">
      <c r="A20" s="7" t="str">
        <f>IF(ROW(A19)&lt;=Trainingsdaten!$H$3,ROW(A19),"")</f>
        <v/>
      </c>
      <c r="B20" s="7" t="str">
        <f>IF(ROW(A19)&lt;=Trainingsdaten!$H$3,COUNTIFS(Training!$B:$B,$A20,Training!$N:$N,1)+COUNTIFS(Training!$B:$B,$A20,Training!$N:$N,-1),"")</f>
        <v/>
      </c>
    </row>
    <row r="21" spans="1:2" x14ac:dyDescent="0.25">
      <c r="A21" s="7" t="str">
        <f>IF(ROW(A20)&lt;=Trainingsdaten!$H$3,ROW(A20),"")</f>
        <v/>
      </c>
      <c r="B21" s="7" t="str">
        <f>IF(ROW(A20)&lt;=Trainingsdaten!$H$3,COUNTIFS(Training!$B:$B,$A21,Training!$N:$N,1)+COUNTIFS(Training!$B:$B,$A21,Training!$N:$N,-1),"")</f>
        <v/>
      </c>
    </row>
    <row r="22" spans="1:2" x14ac:dyDescent="0.25">
      <c r="A22" s="7" t="str">
        <f>IF(ROW(A21)&lt;=Trainingsdaten!$H$3,ROW(A21),"")</f>
        <v/>
      </c>
      <c r="B22" s="7" t="str">
        <f>IF(ROW(A21)&lt;=Trainingsdaten!$H$3,COUNTIFS(Training!$B:$B,$A22,Training!$N:$N,1)+COUNTIFS(Training!$B:$B,$A22,Training!$N:$N,-1),"")</f>
        <v/>
      </c>
    </row>
    <row r="23" spans="1:2" x14ac:dyDescent="0.25">
      <c r="A23" s="7" t="str">
        <f>IF(ROW(A22)&lt;=Trainingsdaten!$H$3,ROW(A22),"")</f>
        <v/>
      </c>
      <c r="B23" s="7" t="str">
        <f>IF(ROW(A22)&lt;=Trainingsdaten!$H$3,COUNTIFS(Training!$B:$B,$A23,Training!$N:$N,1)+COUNTIFS(Training!$B:$B,$A23,Training!$N:$N,-1),"")</f>
        <v/>
      </c>
    </row>
    <row r="24" spans="1:2" x14ac:dyDescent="0.25">
      <c r="A24" s="7" t="str">
        <f>IF(ROW(A23)&lt;=Trainingsdaten!$H$3,ROW(A23),"")</f>
        <v/>
      </c>
      <c r="B24" s="7" t="str">
        <f>IF(ROW(A23)&lt;=Trainingsdaten!$H$3,COUNTIFS(Training!$B:$B,$A24,Training!$N:$N,1)+COUNTIFS(Training!$B:$B,$A24,Training!$N:$N,-1),"")</f>
        <v/>
      </c>
    </row>
    <row r="25" spans="1:2" x14ac:dyDescent="0.25">
      <c r="A25" s="7" t="str">
        <f>IF(ROW(A24)&lt;=Trainingsdaten!$H$3,ROW(A24),"")</f>
        <v/>
      </c>
      <c r="B25" s="7" t="str">
        <f>IF(ROW(A24)&lt;=Trainingsdaten!$H$3,COUNTIFS(Training!$B:$B,$A25,Training!$N:$N,1)+COUNTIFS(Training!$B:$B,$A25,Training!$N:$N,-1),"")</f>
        <v/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K23" sqref="K23"/>
    </sheetView>
  </sheetViews>
  <sheetFormatPr baseColWidth="10" defaultRowHeight="15" x14ac:dyDescent="0.25"/>
  <cols>
    <col min="1" max="1" width="22.28515625" customWidth="1"/>
    <col min="2" max="2" width="18.42578125" customWidth="1"/>
    <col min="3" max="3" width="17.85546875" customWidth="1"/>
    <col min="4" max="4" width="22.42578125" customWidth="1"/>
    <col min="5" max="5" width="18.28515625" customWidth="1"/>
    <col min="6" max="6" width="16.28515625" customWidth="1"/>
  </cols>
  <sheetData>
    <row r="1" spans="1:6" ht="24" customHeight="1" x14ac:dyDescent="0.35">
      <c r="A1" s="13" t="s">
        <v>42</v>
      </c>
      <c r="B1" s="13"/>
      <c r="C1" s="13"/>
      <c r="D1" s="13"/>
      <c r="E1" s="2"/>
    </row>
    <row r="2" spans="1:6" ht="24" customHeight="1" x14ac:dyDescent="0.35">
      <c r="A2" s="3"/>
      <c r="B2" s="3"/>
      <c r="C2" s="3"/>
      <c r="D2" s="3"/>
      <c r="E2" s="2"/>
    </row>
    <row r="3" spans="1:6" x14ac:dyDescent="0.25">
      <c r="A3" t="s">
        <v>29</v>
      </c>
      <c r="B3" t="s">
        <v>31</v>
      </c>
      <c r="C3" t="s">
        <v>32</v>
      </c>
      <c r="D3" t="s">
        <v>1</v>
      </c>
      <c r="E3" t="s">
        <v>30</v>
      </c>
      <c r="F3" t="s">
        <v>28</v>
      </c>
    </row>
    <row r="4" spans="1:6" x14ac:dyDescent="0.25">
      <c r="A4" t="s">
        <v>43</v>
      </c>
      <c r="B4">
        <v>0.1</v>
      </c>
      <c r="C4">
        <v>89</v>
      </c>
      <c r="D4">
        <f>B4*LOOKUP(2,1/(Training!I:I&lt;&gt;""),Training!I:I)+C4*LOOKUP(2,1/(Training!J:J&lt;&gt;""),Training!J:J)+LOOKUP(2,1/(Training!K:K&lt;&gt;""),Training!K:K)</f>
        <v>-118.68199999999999</v>
      </c>
      <c r="E4">
        <f t="shared" ref="E4:E14" si="0">IF(D4&gt;0,1,0)</f>
        <v>0</v>
      </c>
      <c r="F4" t="str">
        <f t="shared" ref="F4:F14" si="1">IF(E4=1,"Obst","Gemüse")</f>
        <v>Gemüse</v>
      </c>
    </row>
    <row r="5" spans="1:6" x14ac:dyDescent="0.25">
      <c r="A5" t="s">
        <v>26</v>
      </c>
      <c r="B5">
        <v>10</v>
      </c>
      <c r="C5">
        <v>5</v>
      </c>
      <c r="D5">
        <f>B5*LOOKUP(2,1/(Training!I:I&lt;&gt;""),Training!I:I)+C5*LOOKUP(2,1/(Training!J:J&lt;&gt;""),Training!J:J)+LOOKUP(2,1/(Training!K:K&lt;&gt;""),Training!K:K)</f>
        <v>21.400000000000006</v>
      </c>
      <c r="E5">
        <f t="shared" si="0"/>
        <v>1</v>
      </c>
      <c r="F5" t="str">
        <f t="shared" si="1"/>
        <v>Obst</v>
      </c>
    </row>
    <row r="6" spans="1:6" x14ac:dyDescent="0.25">
      <c r="A6" t="s">
        <v>44</v>
      </c>
      <c r="B6">
        <v>6.1</v>
      </c>
      <c r="C6">
        <v>6</v>
      </c>
      <c r="D6">
        <f>B6*LOOKUP(2,1/(Training!I:I&lt;&gt;""),Training!I:I)+C6*LOOKUP(2,1/(Training!J:J&lt;&gt;""),Training!J:J)+LOOKUP(2,1/(Training!K:K&lt;&gt;""),Training!K:K)</f>
        <v>9.2180000000000035</v>
      </c>
      <c r="E6">
        <f t="shared" si="0"/>
        <v>1</v>
      </c>
      <c r="F6" t="str">
        <f t="shared" si="1"/>
        <v>Obst</v>
      </c>
    </row>
    <row r="7" spans="1:6" x14ac:dyDescent="0.25">
      <c r="A7" t="s">
        <v>45</v>
      </c>
      <c r="B7">
        <v>15.6</v>
      </c>
      <c r="C7">
        <v>28</v>
      </c>
      <c r="D7">
        <f>B7*LOOKUP(2,1/(Training!I:I&lt;&gt;""),Training!I:I)+C7*LOOKUP(2,1/(Training!J:J&lt;&gt;""),Training!J:J)+LOOKUP(2,1/(Training!K:K&lt;&gt;""),Training!K:K)</f>
        <v>6.1480000000000059</v>
      </c>
      <c r="E7">
        <f t="shared" si="0"/>
        <v>1</v>
      </c>
      <c r="F7" t="str">
        <f t="shared" si="1"/>
        <v>Obst</v>
      </c>
    </row>
    <row r="8" spans="1:6" x14ac:dyDescent="0.25">
      <c r="A8" t="s">
        <v>46</v>
      </c>
      <c r="B8">
        <v>1.6</v>
      </c>
      <c r="C8">
        <v>21</v>
      </c>
      <c r="D8">
        <f>B8*LOOKUP(2,1/(Training!I:I&lt;&gt;""),Training!I:I)+C8*LOOKUP(2,1/(Training!J:J&lt;&gt;""),Training!J:J)+LOOKUP(2,1/(Training!K:K&lt;&gt;""),Training!K:K)</f>
        <v>-23.391999999999996</v>
      </c>
      <c r="E8">
        <f t="shared" si="0"/>
        <v>0</v>
      </c>
      <c r="F8" t="str">
        <f t="shared" si="1"/>
        <v>Gemüse</v>
      </c>
    </row>
    <row r="9" spans="1:6" x14ac:dyDescent="0.25">
      <c r="A9" t="s">
        <v>47</v>
      </c>
      <c r="B9">
        <v>5.0999999999999996</v>
      </c>
      <c r="C9">
        <v>12</v>
      </c>
      <c r="D9">
        <f>B9*LOOKUP(2,1/(Training!I:I&lt;&gt;""),Training!I:I)+C9*LOOKUP(2,1/(Training!J:J&lt;&gt;""),Training!J:J)+LOOKUP(2,1/(Training!K:K&lt;&gt;""),Training!K:K)</f>
        <v>-1.6019999999999974</v>
      </c>
      <c r="E9">
        <f t="shared" si="0"/>
        <v>0</v>
      </c>
      <c r="F9" t="str">
        <f t="shared" si="1"/>
        <v>Gemüse</v>
      </c>
    </row>
    <row r="10" spans="1:6" x14ac:dyDescent="0.25">
      <c r="A10" s="6" t="s">
        <v>48</v>
      </c>
      <c r="B10" s="6">
        <v>2.1</v>
      </c>
      <c r="C10" s="6">
        <v>1</v>
      </c>
      <c r="D10" s="6">
        <f>B10*LOOKUP(2,1/(Training!I:I&lt;&gt;""),Training!I:I)+C10*LOOKUP(2,1/(Training!J:J&lt;&gt;""),Training!J:J)+LOOKUP(2,1/(Training!K:K&lt;&gt;""),Training!K:K)</f>
        <v>4.7980000000000009</v>
      </c>
      <c r="E10" s="6">
        <f t="shared" si="0"/>
        <v>1</v>
      </c>
      <c r="F10" s="6" t="str">
        <f t="shared" si="1"/>
        <v>Obst</v>
      </c>
    </row>
    <row r="11" spans="1:6" x14ac:dyDescent="0.25">
      <c r="A11" s="6" t="s">
        <v>11</v>
      </c>
      <c r="B11" s="6">
        <v>7.4</v>
      </c>
      <c r="C11" s="6">
        <v>30</v>
      </c>
      <c r="D11" s="6">
        <f>B11*LOOKUP(2,1/(Training!I:I&lt;&gt;""),Training!I:I)+C11*LOOKUP(2,1/(Training!J:J&lt;&gt;""),Training!J:J)+LOOKUP(2,1/(Training!K:K&lt;&gt;""),Training!K:K)</f>
        <v>-19.327999999999992</v>
      </c>
      <c r="E11" s="6">
        <f t="shared" si="0"/>
        <v>0</v>
      </c>
      <c r="F11" s="6" t="str">
        <f t="shared" si="1"/>
        <v>Gemüse</v>
      </c>
    </row>
    <row r="12" spans="1:6" x14ac:dyDescent="0.25">
      <c r="D12">
        <f>B12*LOOKUP(2,1/(Training!I:I&lt;&gt;""),Training!I:I)+C12*LOOKUP(2,1/(Training!J:J&lt;&gt;""),Training!J:J)+LOOKUP(2,1/(Training!K:K&lt;&gt;""),Training!K:K)</f>
        <v>0.30000000000000004</v>
      </c>
      <c r="E12">
        <f t="shared" si="0"/>
        <v>1</v>
      </c>
      <c r="F12" t="str">
        <f t="shared" si="1"/>
        <v>Obst</v>
      </c>
    </row>
    <row r="13" spans="1:6" x14ac:dyDescent="0.25">
      <c r="D13">
        <f>B13*LOOKUP(2,1/(Training!I:I&lt;&gt;""),Training!I:I)+C13*LOOKUP(2,1/(Training!J:J&lt;&gt;""),Training!J:J)+LOOKUP(2,1/(Training!K:K&lt;&gt;""),Training!K:K)</f>
        <v>0.30000000000000004</v>
      </c>
      <c r="E13">
        <f t="shared" si="0"/>
        <v>1</v>
      </c>
      <c r="F13" t="str">
        <f t="shared" si="1"/>
        <v>Obst</v>
      </c>
    </row>
    <row r="14" spans="1:6" x14ac:dyDescent="0.25">
      <c r="D14">
        <f>B14*LOOKUP(2,1/(Training!I:I&lt;&gt;""),Training!I:I)+C14*LOOKUP(2,1/(Training!J:J&lt;&gt;""),Training!J:J)+LOOKUP(2,1/(Training!K:K&lt;&gt;""),Training!K:K)</f>
        <v>0.30000000000000004</v>
      </c>
      <c r="E14">
        <f t="shared" si="0"/>
        <v>1</v>
      </c>
      <c r="F14" t="str">
        <f t="shared" si="1"/>
        <v>Obst</v>
      </c>
    </row>
    <row r="15" spans="1:6" x14ac:dyDescent="0.25">
      <c r="D15" s="15">
        <f>B15*LOOKUP(2,1/(Training!I:I&lt;&gt;""),Training!I:I)+C15*LOOKUP(2,1/(Training!J:J&lt;&gt;""),Training!J:J)+LOOKUP(2,1/(Training!K:K&lt;&gt;""),Training!K:K)</f>
        <v>0.30000000000000004</v>
      </c>
      <c r="E15" s="15">
        <f t="shared" ref="E15:E29" si="2">IF(D15&gt;0,1,0)</f>
        <v>1</v>
      </c>
      <c r="F15" s="15" t="str">
        <f t="shared" ref="F15:F29" si="3">IF(E15=1,"Obst","Gemüse")</f>
        <v>Obst</v>
      </c>
    </row>
    <row r="16" spans="1:6" x14ac:dyDescent="0.25">
      <c r="D16" s="15">
        <f>B16*LOOKUP(2,1/(Training!I:I&lt;&gt;""),Training!I:I)+C16*LOOKUP(2,1/(Training!J:J&lt;&gt;""),Training!J:J)+LOOKUP(2,1/(Training!K:K&lt;&gt;""),Training!K:K)</f>
        <v>0.30000000000000004</v>
      </c>
      <c r="E16" s="15">
        <f t="shared" si="2"/>
        <v>1</v>
      </c>
      <c r="F16" s="15" t="str">
        <f t="shared" si="3"/>
        <v>Obst</v>
      </c>
    </row>
    <row r="17" spans="4:6" x14ac:dyDescent="0.25">
      <c r="D17" s="15">
        <f>B17*LOOKUP(2,1/(Training!I:I&lt;&gt;""),Training!I:I)+C17*LOOKUP(2,1/(Training!J:J&lt;&gt;""),Training!J:J)+LOOKUP(2,1/(Training!K:K&lt;&gt;""),Training!K:K)</f>
        <v>0.30000000000000004</v>
      </c>
      <c r="E17" s="15">
        <f t="shared" si="2"/>
        <v>1</v>
      </c>
      <c r="F17" s="15" t="str">
        <f t="shared" si="3"/>
        <v>Obst</v>
      </c>
    </row>
    <row r="18" spans="4:6" x14ac:dyDescent="0.25">
      <c r="D18" s="15">
        <f>B18*LOOKUP(2,1/(Training!I:I&lt;&gt;""),Training!I:I)+C18*LOOKUP(2,1/(Training!J:J&lt;&gt;""),Training!J:J)+LOOKUP(2,1/(Training!K:K&lt;&gt;""),Training!K:K)</f>
        <v>0.30000000000000004</v>
      </c>
      <c r="E18" s="15">
        <f t="shared" si="2"/>
        <v>1</v>
      </c>
      <c r="F18" s="15" t="str">
        <f t="shared" si="3"/>
        <v>Obst</v>
      </c>
    </row>
    <row r="19" spans="4:6" x14ac:dyDescent="0.25">
      <c r="D19" s="15">
        <f>B19*LOOKUP(2,1/(Training!I:I&lt;&gt;""),Training!I:I)+C19*LOOKUP(2,1/(Training!J:J&lt;&gt;""),Training!J:J)+LOOKUP(2,1/(Training!K:K&lt;&gt;""),Training!K:K)</f>
        <v>0.30000000000000004</v>
      </c>
      <c r="E19" s="15">
        <f t="shared" si="2"/>
        <v>1</v>
      </c>
      <c r="F19" s="15" t="str">
        <f t="shared" si="3"/>
        <v>Obst</v>
      </c>
    </row>
    <row r="20" spans="4:6" x14ac:dyDescent="0.25">
      <c r="D20" s="15">
        <f>B20*LOOKUP(2,1/(Training!I:I&lt;&gt;""),Training!I:I)+C20*LOOKUP(2,1/(Training!J:J&lt;&gt;""),Training!J:J)+LOOKUP(2,1/(Training!K:K&lt;&gt;""),Training!K:K)</f>
        <v>0.30000000000000004</v>
      </c>
      <c r="E20" s="15">
        <f t="shared" si="2"/>
        <v>1</v>
      </c>
      <c r="F20" s="15" t="str">
        <f t="shared" si="3"/>
        <v>Obst</v>
      </c>
    </row>
    <row r="21" spans="4:6" x14ac:dyDescent="0.25">
      <c r="D21" s="15">
        <f>B21*LOOKUP(2,1/(Training!I:I&lt;&gt;""),Training!I:I)+C21*LOOKUP(2,1/(Training!J:J&lt;&gt;""),Training!J:J)+LOOKUP(2,1/(Training!K:K&lt;&gt;""),Training!K:K)</f>
        <v>0.30000000000000004</v>
      </c>
      <c r="E21" s="15">
        <f t="shared" si="2"/>
        <v>1</v>
      </c>
      <c r="F21" s="15" t="str">
        <f t="shared" si="3"/>
        <v>Obst</v>
      </c>
    </row>
    <row r="22" spans="4:6" x14ac:dyDescent="0.25">
      <c r="D22" s="15">
        <f>B22*LOOKUP(2,1/(Training!I:I&lt;&gt;""),Training!I:I)+C22*LOOKUP(2,1/(Training!J:J&lt;&gt;""),Training!J:J)+LOOKUP(2,1/(Training!K:K&lt;&gt;""),Training!K:K)</f>
        <v>0.30000000000000004</v>
      </c>
      <c r="E22" s="15">
        <f t="shared" si="2"/>
        <v>1</v>
      </c>
      <c r="F22" s="15" t="str">
        <f t="shared" si="3"/>
        <v>Obst</v>
      </c>
    </row>
    <row r="23" spans="4:6" x14ac:dyDescent="0.25">
      <c r="D23" s="15">
        <f>B23*LOOKUP(2,1/(Training!I:I&lt;&gt;""),Training!I:I)+C23*LOOKUP(2,1/(Training!J:J&lt;&gt;""),Training!J:J)+LOOKUP(2,1/(Training!K:K&lt;&gt;""),Training!K:K)</f>
        <v>0.30000000000000004</v>
      </c>
      <c r="E23" s="15">
        <f t="shared" si="2"/>
        <v>1</v>
      </c>
      <c r="F23" s="15" t="str">
        <f t="shared" si="3"/>
        <v>Obst</v>
      </c>
    </row>
    <row r="24" spans="4:6" x14ac:dyDescent="0.25">
      <c r="D24" s="15">
        <f>B24*LOOKUP(2,1/(Training!I:I&lt;&gt;""),Training!I:I)+C24*LOOKUP(2,1/(Training!J:J&lt;&gt;""),Training!J:J)+LOOKUP(2,1/(Training!K:K&lt;&gt;""),Training!K:K)</f>
        <v>0.30000000000000004</v>
      </c>
      <c r="E24" s="15">
        <f t="shared" si="2"/>
        <v>1</v>
      </c>
      <c r="F24" s="15" t="str">
        <f t="shared" si="3"/>
        <v>Obst</v>
      </c>
    </row>
    <row r="25" spans="4:6" x14ac:dyDescent="0.25">
      <c r="D25" s="15">
        <f>B25*LOOKUP(2,1/(Training!I:I&lt;&gt;""),Training!I:I)+C25*LOOKUP(2,1/(Training!J:J&lt;&gt;""),Training!J:J)+LOOKUP(2,1/(Training!K:K&lt;&gt;""),Training!K:K)</f>
        <v>0.30000000000000004</v>
      </c>
      <c r="E25" s="15">
        <f t="shared" si="2"/>
        <v>1</v>
      </c>
      <c r="F25" s="15" t="str">
        <f t="shared" si="3"/>
        <v>Obst</v>
      </c>
    </row>
    <row r="26" spans="4:6" x14ac:dyDescent="0.25">
      <c r="D26" s="15">
        <f>B26*LOOKUP(2,1/(Training!I:I&lt;&gt;""),Training!I:I)+C26*LOOKUP(2,1/(Training!J:J&lt;&gt;""),Training!J:J)+LOOKUP(2,1/(Training!K:K&lt;&gt;""),Training!K:K)</f>
        <v>0.30000000000000004</v>
      </c>
      <c r="E26" s="15">
        <f t="shared" si="2"/>
        <v>1</v>
      </c>
      <c r="F26" s="15" t="str">
        <f t="shared" si="3"/>
        <v>Obst</v>
      </c>
    </row>
    <row r="27" spans="4:6" x14ac:dyDescent="0.25">
      <c r="D27" s="15">
        <f>B27*LOOKUP(2,1/(Training!I:I&lt;&gt;""),Training!I:I)+C27*LOOKUP(2,1/(Training!J:J&lt;&gt;""),Training!J:J)+LOOKUP(2,1/(Training!K:K&lt;&gt;""),Training!K:K)</f>
        <v>0.30000000000000004</v>
      </c>
      <c r="E27" s="15">
        <f t="shared" si="2"/>
        <v>1</v>
      </c>
      <c r="F27" s="15" t="str">
        <f t="shared" si="3"/>
        <v>Obst</v>
      </c>
    </row>
    <row r="28" spans="4:6" x14ac:dyDescent="0.25">
      <c r="D28" s="15">
        <f>B28*LOOKUP(2,1/(Training!I:I&lt;&gt;""),Training!I:I)+C28*LOOKUP(2,1/(Training!J:J&lt;&gt;""),Training!J:J)+LOOKUP(2,1/(Training!K:K&lt;&gt;""),Training!K:K)</f>
        <v>0.30000000000000004</v>
      </c>
      <c r="E28" s="15">
        <f t="shared" si="2"/>
        <v>1</v>
      </c>
      <c r="F28" s="15" t="str">
        <f t="shared" si="3"/>
        <v>Obst</v>
      </c>
    </row>
    <row r="29" spans="4:6" x14ac:dyDescent="0.25">
      <c r="D29" s="15">
        <f>B29*LOOKUP(2,1/(Training!I:I&lt;&gt;""),Training!I:I)+C29*LOOKUP(2,1/(Training!J:J&lt;&gt;""),Training!J:J)+LOOKUP(2,1/(Training!K:K&lt;&gt;""),Training!K:K)</f>
        <v>0.30000000000000004</v>
      </c>
      <c r="E29" s="15">
        <f t="shared" si="2"/>
        <v>1</v>
      </c>
      <c r="F29" s="15" t="str">
        <f t="shared" si="3"/>
        <v>Obst</v>
      </c>
    </row>
  </sheetData>
  <mergeCells count="1">
    <mergeCell ref="A1:D1"/>
  </mergeCells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Erklärung</vt:lpstr>
      <vt:lpstr>Rohdaten</vt:lpstr>
      <vt:lpstr>Visualisierung</vt:lpstr>
      <vt:lpstr>Trainingsdaten</vt:lpstr>
      <vt:lpstr>Training</vt:lpstr>
      <vt:lpstr>Fehlerkurve</vt:lpstr>
      <vt:lpstr>Anwendung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BBM</cp:lastModifiedBy>
  <dcterms:created xsi:type="dcterms:W3CDTF">2026-04-16T10:02:36Z</dcterms:created>
  <dcterms:modified xsi:type="dcterms:W3CDTF">2026-06-28T19:05:41Z</dcterms:modified>
</cp:coreProperties>
</file>